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P:\Akshaya Personal Info\ExcelR-Data\Excel\"/>
    </mc:Choice>
  </mc:AlternateContent>
  <xr:revisionPtr revIDLastSave="0" documentId="8_{3B1D03F5-EF2B-4276-87C6-554CC59D221D}" xr6:coauthVersionLast="47" xr6:coauthVersionMax="47" xr10:uidLastSave="{00000000-0000-0000-0000-000000000000}"/>
  <bookViews>
    <workbookView xWindow="-108" yWindow="-108" windowWidth="23256" windowHeight="12456" firstSheet="15" activeTab="15" xr2:uid="{00000000-000D-0000-FFFF-FFFF00000000}"/>
  </bookViews>
  <sheets>
    <sheet name="INTRO" sheetId="1" r:id="rId1"/>
    <sheet name="Day 1" sheetId="3" r:id="rId2"/>
    <sheet name="Cal vs formulas vs func" sheetId="6" r:id="rId3"/>
    <sheet name="Arithmetic Functions" sheetId="5" r:id="rId4"/>
    <sheet name="Name Range" sheetId="4" r:id="rId5"/>
    <sheet name="Cell References" sheetId="8" r:id="rId6"/>
    <sheet name="Date functions" sheetId="9" r:id="rId7"/>
    <sheet name="Text functions" sheetId="10" r:id="rId8"/>
    <sheet name="Flash fill &amp; text to column" sheetId="11" r:id="rId9"/>
    <sheet name="Information function" sheetId="14" r:id="rId10"/>
    <sheet name="Paste special &amp; Math &amp; trigo" sheetId="13" r:id="rId11"/>
    <sheet name="Sumproduct &amp; Indirect" sheetId="7" r:id="rId12"/>
    <sheet name="Data Validation" sheetId="12" r:id="rId13"/>
    <sheet name="Logical function" sheetId="15" r:id="rId14"/>
    <sheet name="QUE FOR LOGICAL FUNC" sheetId="16" r:id="rId15"/>
    <sheet name="Freeze pane" sheetId="17" r:id="rId16"/>
    <sheet name="Conditional formatting" sheetId="18" r:id="rId17"/>
    <sheet name="Sorting" sheetId="19" r:id="rId18"/>
    <sheet name="Sorting h" sheetId="20" r:id="rId19"/>
    <sheet name="Filter" sheetId="21" r:id="rId20"/>
    <sheet name="Filter with diff" sheetId="22" r:id="rId21"/>
    <sheet name="Lookup " sheetId="23" r:id="rId22"/>
    <sheet name="XLOOKUP" sheetId="24" r:id="rId23"/>
    <sheet name="SOURCE DATA" sheetId="25" r:id="rId24"/>
    <sheet name="Vlookup" sheetId="26" r:id="rId25"/>
    <sheet name="Nasted vlookup" sheetId="27" r:id="rId26"/>
    <sheet name="vlookup with wild card" sheetId="28" r:id="rId27"/>
    <sheet name="complax vlookup" sheetId="29" r:id="rId28"/>
    <sheet name="index &amp; match" sheetId="30" r:id="rId29"/>
    <sheet name="HLOOKUP" sheetId="31" r:id="rId30"/>
    <sheet name="Sheet1" sheetId="33" r:id="rId31"/>
    <sheet name="Table" sheetId="32" r:id="rId32"/>
  </sheets>
  <definedNames>
    <definedName name="_xlnm._FilterDatabase" localSheetId="19" hidden="1">Filter!$A$3:$J$23</definedName>
    <definedName name="_xlnm._FilterDatabase" localSheetId="23" hidden="1">'SOURCE DATA'!$A$1:$H$22</definedName>
    <definedName name="ADDRESS">XLOOKUP!$C$3:$C$22</definedName>
    <definedName name="City">XLOOKUP!$D$3:$D$22</definedName>
    <definedName name="DATE">XLOOKUP!$H$3:$H$22</definedName>
    <definedName name="DEPT">XLOOKUP!$F$3:$F$22</definedName>
    <definedName name="Emp_Code">XLOOKUP!$A$3:$A$22</definedName>
    <definedName name="EmpCodeArray">'complax vlookup'!$A$1:$H$21</definedName>
    <definedName name="EmpCodeHeader">'complax vlookup'!$A$1:$H$1</definedName>
    <definedName name="FirstTable">'Nasted vlookup'!$A$1:$B$16</definedName>
    <definedName name="Headcer1">'Nasted vlookup'!$A$1:$B$1</definedName>
    <definedName name="Header">'SOURCE DATA'!$A$1:$H$1</definedName>
    <definedName name="Header2">'Nasted vlookup'!$F$1:$G$1</definedName>
    <definedName name="HeaderArray">'index &amp; match'!$A$1:$G$1</definedName>
    <definedName name="HHeader">HLOOKUP!$A$1:$A$7</definedName>
    <definedName name="Htablearray">HLOOKUP!$B$1:$U$7</definedName>
    <definedName name="NAME">XLOOKUP!$B$3:$B$22</definedName>
    <definedName name="namerange">'index &amp; match'!$B$1:$B$21</definedName>
    <definedName name="NametableArray">'complax vlookup'!$B$1:$H$21</definedName>
    <definedName name="NametableHeader">'complax vlookup'!$B$1:$H$1</definedName>
    <definedName name="Nempcode">Vlookup!$A$3:$A$23</definedName>
    <definedName name="NHtablearray">HLOOKUP!$A$1:$U$7</definedName>
    <definedName name="REGION">XLOOKUP!$E$3:$E$22</definedName>
    <definedName name="SAL">XLOOKUP!$G$3:$G$22</definedName>
    <definedName name="SData">'SOURCE DATA'!$A$1:$H$21</definedName>
    <definedName name="SecondTable">'Nasted vlookup'!$F$1:$G$16</definedName>
    <definedName name="TableArray">'index &amp; match'!$A$1:$G$21</definedName>
    <definedName name="USdata">'SOURCE DATA'!$A$1:$H$22</definedName>
  </definedNames>
  <calcPr calcId="191029"/>
  <pivotCaches>
    <pivotCache cacheId="0" r:id="rId3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1" l="1"/>
  <c r="B15" i="31"/>
  <c r="B21" i="31"/>
  <c r="H16" i="31"/>
  <c r="I16" i="31"/>
  <c r="J16" i="31"/>
  <c r="K16" i="31"/>
  <c r="L16" i="31"/>
  <c r="M16" i="31"/>
  <c r="N16" i="31"/>
  <c r="O16" i="31"/>
  <c r="P16" i="31"/>
  <c r="Q16" i="31"/>
  <c r="R16" i="31"/>
  <c r="S16" i="31"/>
  <c r="T16" i="31"/>
  <c r="U16" i="31"/>
  <c r="C16" i="31"/>
  <c r="D16" i="31"/>
  <c r="E16" i="31"/>
  <c r="F16" i="31"/>
  <c r="G16" i="31"/>
  <c r="B16" i="31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R15" i="31"/>
  <c r="S15" i="31"/>
  <c r="T15" i="31"/>
  <c r="U15" i="31"/>
  <c r="P5" i="30"/>
  <c r="P6" i="30"/>
  <c r="P7" i="30"/>
  <c r="P8" i="30"/>
  <c r="P9" i="30"/>
  <c r="P10" i="30"/>
  <c r="P11" i="30"/>
  <c r="P12" i="30"/>
  <c r="P13" i="30"/>
  <c r="P14" i="30"/>
  <c r="O6" i="30"/>
  <c r="O7" i="30"/>
  <c r="O8" i="30"/>
  <c r="O9" i="30"/>
  <c r="O10" i="30"/>
  <c r="O11" i="30"/>
  <c r="O12" i="30"/>
  <c r="O13" i="30"/>
  <c r="O14" i="30"/>
  <c r="O5" i="30"/>
  <c r="N5" i="30"/>
  <c r="N6" i="30"/>
  <c r="N7" i="30"/>
  <c r="N8" i="30"/>
  <c r="N9" i="30"/>
  <c r="N10" i="30"/>
  <c r="N11" i="30"/>
  <c r="N12" i="30"/>
  <c r="N13" i="30"/>
  <c r="N14" i="30"/>
  <c r="L21" i="30"/>
  <c r="K6" i="30"/>
  <c r="K7" i="30" s="1"/>
  <c r="K8" i="30" s="1"/>
  <c r="K9" i="30" s="1"/>
  <c r="K10" i="30" s="1"/>
  <c r="K11" i="30" s="1"/>
  <c r="K12" i="30" s="1"/>
  <c r="K13" i="30" s="1"/>
  <c r="K14" i="30" s="1"/>
  <c r="K5" i="30"/>
  <c r="M6" i="30"/>
  <c r="M7" i="30"/>
  <c r="M8" i="30"/>
  <c r="M9" i="30"/>
  <c r="M10" i="30"/>
  <c r="M11" i="30"/>
  <c r="M12" i="30"/>
  <c r="M13" i="30"/>
  <c r="M14" i="30"/>
  <c r="L18" i="30"/>
  <c r="M5" i="30"/>
  <c r="N19" i="29"/>
  <c r="O4" i="29"/>
  <c r="O5" i="29"/>
  <c r="O6" i="29"/>
  <c r="O7" i="29"/>
  <c r="O8" i="29"/>
  <c r="O9" i="29"/>
  <c r="O10" i="29"/>
  <c r="O11" i="29"/>
  <c r="O12" i="29"/>
  <c r="O3" i="29"/>
  <c r="N4" i="29"/>
  <c r="N5" i="29"/>
  <c r="N6" i="29"/>
  <c r="N7" i="29"/>
  <c r="N8" i="29"/>
  <c r="N9" i="29"/>
  <c r="N10" i="29"/>
  <c r="N11" i="29"/>
  <c r="N12" i="29"/>
  <c r="N3" i="29"/>
  <c r="N18" i="29"/>
  <c r="E11" i="28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" i="28"/>
  <c r="M3" i="27"/>
  <c r="K3" i="27"/>
  <c r="K4" i="27"/>
  <c r="K5" i="27"/>
  <c r="K6" i="27"/>
  <c r="K7" i="27"/>
  <c r="K8" i="27"/>
  <c r="K9" i="27"/>
  <c r="K10" i="27"/>
  <c r="K11" i="27"/>
  <c r="K12" i="27"/>
  <c r="K13" i="27"/>
  <c r="K14" i="27"/>
  <c r="K15" i="27"/>
  <c r="K16" i="27"/>
  <c r="K2" i="27"/>
  <c r="N23" i="27"/>
  <c r="K19" i="27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3" i="26"/>
  <c r="A1" i="26"/>
  <c r="I7" i="26"/>
  <c r="P12" i="25"/>
  <c r="P13" i="25"/>
  <c r="O13" i="25"/>
  <c r="O12" i="25"/>
  <c r="P11" i="25"/>
  <c r="O11" i="25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C29" i="26"/>
  <c r="D29" i="26"/>
  <c r="E29" i="26"/>
  <c r="C30" i="26"/>
  <c r="D30" i="26"/>
  <c r="E30" i="26"/>
  <c r="C31" i="26"/>
  <c r="D31" i="26"/>
  <c r="E31" i="26"/>
  <c r="C32" i="26"/>
  <c r="D32" i="26"/>
  <c r="E32" i="26"/>
  <c r="C33" i="26"/>
  <c r="D33" i="26"/>
  <c r="E33" i="26"/>
  <c r="C34" i="26"/>
  <c r="D34" i="26"/>
  <c r="E34" i="26"/>
  <c r="C35" i="26"/>
  <c r="D35" i="26"/>
  <c r="E35" i="26"/>
  <c r="C36" i="26"/>
  <c r="D36" i="26"/>
  <c r="E36" i="26"/>
  <c r="C37" i="26"/>
  <c r="D37" i="26"/>
  <c r="E37" i="26"/>
  <c r="C38" i="26"/>
  <c r="D38" i="26"/>
  <c r="E38" i="26"/>
  <c r="C39" i="26"/>
  <c r="D39" i="26"/>
  <c r="E39" i="26"/>
  <c r="C40" i="26"/>
  <c r="D40" i="26"/>
  <c r="E40" i="26"/>
  <c r="C41" i="26"/>
  <c r="D41" i="26"/>
  <c r="E41" i="26"/>
  <c r="C42" i="26"/>
  <c r="D42" i="26"/>
  <c r="E42" i="26"/>
  <c r="C43" i="26"/>
  <c r="D43" i="26"/>
  <c r="E43" i="26"/>
  <c r="C44" i="26"/>
  <c r="D44" i="26"/>
  <c r="E44" i="26"/>
  <c r="C45" i="26"/>
  <c r="D45" i="26"/>
  <c r="E45" i="26"/>
  <c r="C46" i="26"/>
  <c r="D46" i="26"/>
  <c r="E46" i="26"/>
  <c r="C47" i="26"/>
  <c r="D47" i="26"/>
  <c r="E47" i="26"/>
  <c r="B29" i="26"/>
  <c r="D27" i="26"/>
  <c r="B27" i="26"/>
  <c r="N4" i="24"/>
  <c r="N5" i="24"/>
  <c r="N6" i="24"/>
  <c r="N7" i="24"/>
  <c r="N8" i="24"/>
  <c r="N9" i="24"/>
  <c r="N10" i="24"/>
  <c r="N15" i="24"/>
  <c r="N16" i="24"/>
  <c r="N17" i="24"/>
  <c r="N18" i="24"/>
  <c r="N19" i="24"/>
  <c r="N20" i="24"/>
  <c r="N21" i="24"/>
  <c r="N22" i="24"/>
  <c r="N14" i="24"/>
  <c r="M15" i="24"/>
  <c r="M16" i="24"/>
  <c r="M17" i="24"/>
  <c r="M18" i="24"/>
  <c r="M19" i="24"/>
  <c r="M20" i="24"/>
  <c r="M21" i="24"/>
  <c r="M22" i="24"/>
  <c r="M14" i="24"/>
  <c r="L2" i="24"/>
  <c r="L5" i="24"/>
  <c r="L6" i="24"/>
  <c r="L7" i="24"/>
  <c r="L8" i="24"/>
  <c r="L9" i="24"/>
  <c r="L10" i="24"/>
  <c r="L4" i="24"/>
  <c r="P2" i="24"/>
  <c r="P5" i="24"/>
  <c r="P6" i="24"/>
  <c r="P7" i="24"/>
  <c r="P8" i="24"/>
  <c r="P9" i="24"/>
  <c r="P10" i="24"/>
  <c r="P4" i="24"/>
  <c r="O2" i="24"/>
  <c r="O5" i="24"/>
  <c r="O6" i="24"/>
  <c r="O7" i="24"/>
  <c r="O8" i="24"/>
  <c r="O9" i="24"/>
  <c r="O10" i="24"/>
  <c r="O4" i="24"/>
  <c r="L8" i="23"/>
  <c r="N8" i="23"/>
  <c r="O8" i="23"/>
  <c r="P8" i="23"/>
  <c r="M2" i="23"/>
  <c r="N2" i="23"/>
  <c r="O2" i="23"/>
  <c r="P2" i="23"/>
  <c r="L2" i="23"/>
  <c r="L6" i="23"/>
  <c r="L7" i="23"/>
  <c r="L9" i="23"/>
  <c r="L10" i="23"/>
  <c r="L11" i="23"/>
  <c r="L5" i="23"/>
  <c r="P6" i="23"/>
  <c r="P7" i="23"/>
  <c r="P9" i="23"/>
  <c r="P10" i="23"/>
  <c r="P11" i="23"/>
  <c r="P5" i="23"/>
  <c r="O6" i="23"/>
  <c r="O7" i="23"/>
  <c r="O9" i="23"/>
  <c r="O10" i="23"/>
  <c r="O11" i="23"/>
  <c r="O5" i="23"/>
  <c r="N6" i="23"/>
  <c r="N7" i="23"/>
  <c r="N9" i="23"/>
  <c r="N10" i="23"/>
  <c r="N11" i="23"/>
  <c r="N5" i="23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10" i="20"/>
  <c r="M2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4" i="18"/>
  <c r="S4" i="15"/>
  <c r="T4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6" i="15"/>
  <c r="R6" i="15"/>
  <c r="R42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6" i="15"/>
  <c r="Q42" i="15"/>
  <c r="O36" i="15"/>
  <c r="O34" i="15" a="1"/>
  <c r="P42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8" i="15"/>
  <c r="P7" i="15"/>
  <c r="P6" i="15"/>
  <c r="O42" i="15"/>
  <c r="O22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3" i="15"/>
  <c r="O24" i="15"/>
  <c r="O25" i="15"/>
  <c r="O6" i="15"/>
  <c r="N42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6" i="15"/>
  <c r="M42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6" i="15"/>
  <c r="L42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6" i="15"/>
  <c r="K6" i="15" a="1"/>
  <c r="K42" i="15"/>
  <c r="J42" i="15"/>
  <c r="J6" i="15" a="1"/>
  <c r="I42" i="15"/>
  <c r="H7" i="15"/>
  <c r="I7" i="15" s="1"/>
  <c r="H8" i="15"/>
  <c r="I8" i="15" s="1"/>
  <c r="H9" i="15"/>
  <c r="I9" i="15" s="1"/>
  <c r="H10" i="15"/>
  <c r="I10" i="15" s="1"/>
  <c r="H11" i="15"/>
  <c r="I11" i="15" s="1"/>
  <c r="H12" i="15"/>
  <c r="I12" i="15" s="1"/>
  <c r="H13" i="15"/>
  <c r="I13" i="15" s="1"/>
  <c r="H14" i="15"/>
  <c r="I14" i="15" s="1"/>
  <c r="H15" i="15"/>
  <c r="I15" i="15" s="1"/>
  <c r="H16" i="15"/>
  <c r="I16" i="15" s="1"/>
  <c r="H17" i="15"/>
  <c r="I17" i="15" s="1"/>
  <c r="H18" i="15"/>
  <c r="I18" i="15" s="1"/>
  <c r="H19" i="15"/>
  <c r="I19" i="15" s="1"/>
  <c r="H20" i="15"/>
  <c r="I20" i="15" s="1"/>
  <c r="H21" i="15"/>
  <c r="I21" i="15" s="1"/>
  <c r="H22" i="15"/>
  <c r="I22" i="15" s="1"/>
  <c r="H23" i="15"/>
  <c r="I23" i="15" s="1"/>
  <c r="H24" i="15"/>
  <c r="I24" i="15" s="1"/>
  <c r="H25" i="15"/>
  <c r="I25" i="15" s="1"/>
  <c r="H6" i="15"/>
  <c r="H42" i="15"/>
  <c r="E5" i="4"/>
  <c r="E6" i="4"/>
  <c r="E7" i="4"/>
  <c r="E8" i="4"/>
  <c r="E9" i="4"/>
  <c r="E10" i="4"/>
  <c r="E4" i="4"/>
  <c r="U16" i="10"/>
  <c r="M45" i="9"/>
  <c r="K24" i="5"/>
  <c r="K11" i="5"/>
  <c r="K20" i="5"/>
  <c r="L52" i="9"/>
  <c r="O16" i="10"/>
  <c r="P16" i="10"/>
  <c r="AH13" i="10"/>
  <c r="K9" i="5"/>
  <c r="K4" i="5"/>
  <c r="V16" i="10"/>
  <c r="L51" i="9"/>
  <c r="K7" i="5"/>
  <c r="K19" i="5"/>
  <c r="AD15" i="10"/>
  <c r="K12" i="5"/>
  <c r="K17" i="5"/>
  <c r="K14" i="5"/>
  <c r="F16" i="10"/>
  <c r="AE15" i="10"/>
  <c r="M44" i="9"/>
  <c r="E16" i="10"/>
  <c r="AC15" i="10"/>
  <c r="K21" i="5"/>
  <c r="K10" i="5"/>
  <c r="O13" i="9"/>
  <c r="K18" i="5"/>
  <c r="K23" i="5"/>
  <c r="K16" i="5"/>
  <c r="K13" i="5"/>
  <c r="K5" i="5"/>
  <c r="L13" i="9"/>
  <c r="J16" i="10"/>
  <c r="N16" i="10"/>
  <c r="K6" i="5"/>
  <c r="D16" i="10"/>
  <c r="K22" i="5"/>
  <c r="AH12" i="10"/>
  <c r="M13" i="9"/>
  <c r="C16" i="10"/>
  <c r="N13" i="9"/>
  <c r="AB15" i="10"/>
  <c r="K8" i="5"/>
  <c r="AA15" i="10"/>
  <c r="I6" i="15" l="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J5" i="21"/>
  <c r="J4" i="21"/>
  <c r="K17" i="19"/>
  <c r="K13" i="19"/>
  <c r="K21" i="19"/>
  <c r="K11" i="19"/>
  <c r="K16" i="19"/>
  <c r="K14" i="19"/>
  <c r="K9" i="19"/>
  <c r="K10" i="19"/>
  <c r="K20" i="19"/>
  <c r="K26" i="19"/>
  <c r="K8" i="19"/>
  <c r="K27" i="19"/>
  <c r="K18" i="19"/>
  <c r="K24" i="19"/>
  <c r="K25" i="19"/>
  <c r="K23" i="19"/>
  <c r="K19" i="19"/>
  <c r="K22" i="19"/>
  <c r="K15" i="19"/>
  <c r="K12" i="19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C10" i="14"/>
  <c r="E14" i="14"/>
  <c r="E9" i="14"/>
  <c r="E6" i="14"/>
  <c r="E7" i="14"/>
  <c r="E5" i="14"/>
  <c r="E12" i="14"/>
  <c r="E8" i="14"/>
  <c r="E11" i="14"/>
  <c r="E13" i="14"/>
  <c r="E10" i="14"/>
  <c r="Q94" i="13" l="1"/>
  <c r="Q93" i="13"/>
  <c r="Q92" i="13"/>
  <c r="Q91" i="13"/>
  <c r="Q90" i="13"/>
  <c r="Q89" i="13"/>
  <c r="Q88" i="13"/>
  <c r="Q87" i="13"/>
  <c r="Q86" i="13"/>
  <c r="C98" i="13"/>
  <c r="L98" i="13"/>
  <c r="E98" i="13"/>
  <c r="D98" i="13"/>
  <c r="U98" i="13"/>
  <c r="F98" i="13"/>
  <c r="R98" i="13"/>
  <c r="X98" i="13"/>
  <c r="O98" i="13"/>
  <c r="AA98" i="13"/>
  <c r="K98" i="13"/>
  <c r="L30" i="9" l="1"/>
  <c r="E30" i="7"/>
  <c r="E29" i="7"/>
  <c r="E28" i="7"/>
  <c r="E27" i="7"/>
  <c r="E26" i="7"/>
  <c r="E25" i="7"/>
  <c r="E24" i="7"/>
  <c r="E23" i="7"/>
  <c r="E22" i="7"/>
  <c r="N7" i="9"/>
  <c r="AH11" i="10"/>
  <c r="L7" i="9"/>
  <c r="U21" i="8"/>
  <c r="D7" i="9"/>
  <c r="AG19" i="9"/>
  <c r="O7" i="9"/>
  <c r="T10" i="9"/>
  <c r="T11" i="9"/>
  <c r="M7" i="9"/>
  <c r="D9" i="9"/>
  <c r="D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JAYYAA</author>
  </authors>
  <commentList>
    <comment ref="I32" authorId="0" shapeId="0" xr:uid="{894A1A66-DEB1-4768-874A-FB01094CFC61}">
      <text>
        <r>
          <rPr>
            <b/>
            <sz val="9"/>
            <color indexed="81"/>
            <rFont val="Tahoma"/>
            <family val="2"/>
          </rPr>
          <t>JAYYAA: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<sst xmlns="http://schemas.openxmlformats.org/spreadsheetml/2006/main" count="3142" uniqueCount="651">
  <si>
    <t>About Excel</t>
  </si>
  <si>
    <t>What is Excel ?</t>
  </si>
  <si>
    <t>MS Office Versions (similarities and differences) &amp; Interface (latest available version)</t>
  </si>
  <si>
    <t>Microsoft Excel is a powerful spreadsheet software widely used for data</t>
  </si>
  <si>
    <t>organization, analysis, and visualization. It is part of the Microsoft Office</t>
  </si>
  <si>
    <t>1.Microsoft Office 2003</t>
  </si>
  <si>
    <t>suite and is commonly used for tasks such as budgeting, project</t>
  </si>
  <si>
    <t>2. Microsoft Office 2007</t>
  </si>
  <si>
    <t>management, data analysis, and report generation.</t>
  </si>
  <si>
    <t>3. Microsoft Office 2010</t>
  </si>
  <si>
    <t>3. Microsoft Office 2013</t>
  </si>
  <si>
    <t>3. Microsoft Office 2016</t>
  </si>
  <si>
    <t>History of Spreadsheet</t>
  </si>
  <si>
    <t>Founders of Spreadsheet</t>
  </si>
  <si>
    <t>3. Microsoft Office 2019</t>
  </si>
  <si>
    <t>Application Name</t>
  </si>
  <si>
    <t>Year</t>
  </si>
  <si>
    <t>Dan Bricklin</t>
  </si>
  <si>
    <t>3. Microsoft Office 2021</t>
  </si>
  <si>
    <t>Visicalc</t>
  </si>
  <si>
    <t>Bob Frankston</t>
  </si>
  <si>
    <t>3. Microsoft 365 (formerly Office 365)</t>
  </si>
  <si>
    <t>SuperCalc</t>
  </si>
  <si>
    <t>Lotus 1-2-3</t>
  </si>
  <si>
    <t xml:space="preserve">For more info </t>
  </si>
  <si>
    <t>The main differences between MS Office versions lie in the user interface, cloud integration, collaboration tools,</t>
  </si>
  <si>
    <t>Multiplan/Excel</t>
  </si>
  <si>
    <t>1982/1985</t>
  </si>
  <si>
    <t>www.bricklin.com</t>
  </si>
  <si>
    <t>and the pricing model. For users who need continuous updates and cloud-based features, Microsoft 365 is ideal,</t>
  </si>
  <si>
    <t>while traditional Office users can rely on Office 2021 or earlier versions for a one-time purchase solution.</t>
  </si>
  <si>
    <t>What is Row?</t>
  </si>
  <si>
    <t>A row in a table or spreadsheet is a horizontal line of data, whereas a column in a chart, table, or spreadsheet is a vertical line of cells.</t>
  </si>
  <si>
    <t>Data Types</t>
  </si>
  <si>
    <t>What is column?</t>
  </si>
  <si>
    <t>Excel allows various types of data, including:</t>
  </si>
  <si>
    <t>What is cell?</t>
  </si>
  <si>
    <t>a rectangular box in a worksheet that is formed by the intersection of a row and a column</t>
  </si>
  <si>
    <t>Text: Alphanumeric characters (e.g., names, descriptions).</t>
  </si>
  <si>
    <t>Numbers: Numeric data used for calculations.</t>
  </si>
  <si>
    <t>Dates: Used for representing dates and times.</t>
  </si>
  <si>
    <t>Column</t>
  </si>
  <si>
    <t>Row</t>
  </si>
  <si>
    <t>Formulas: Mathematical expressions that perform calculations using cell values.</t>
  </si>
  <si>
    <t>Sr.Num</t>
  </si>
  <si>
    <t>Name</t>
  </si>
  <si>
    <t>Marks</t>
  </si>
  <si>
    <t>Grade</t>
  </si>
  <si>
    <t>Kavita</t>
  </si>
  <si>
    <t>Anvi</t>
  </si>
  <si>
    <t>Nirvi</t>
  </si>
  <si>
    <t>Priya</t>
  </si>
  <si>
    <t>Maya</t>
  </si>
  <si>
    <t>Surya</t>
  </si>
  <si>
    <t>Rajesh</t>
  </si>
  <si>
    <t>Charan</t>
  </si>
  <si>
    <t>Kabir</t>
  </si>
  <si>
    <t>Sriniwas</t>
  </si>
  <si>
    <t>Neelam</t>
  </si>
  <si>
    <t>Ravi</t>
  </si>
  <si>
    <t>sona</t>
  </si>
  <si>
    <t>Salman</t>
  </si>
  <si>
    <t>Karan</t>
  </si>
  <si>
    <t>Govind</t>
  </si>
  <si>
    <t>Gopal</t>
  </si>
  <si>
    <t>Ramesh</t>
  </si>
  <si>
    <t>A</t>
  </si>
  <si>
    <t>E</t>
  </si>
  <si>
    <t>B</t>
  </si>
  <si>
    <t>C</t>
  </si>
  <si>
    <t>D</t>
  </si>
  <si>
    <t>Num</t>
  </si>
  <si>
    <t>SR.num</t>
  </si>
  <si>
    <t>Even num</t>
  </si>
  <si>
    <t>odd num</t>
  </si>
  <si>
    <t>MON</t>
  </si>
  <si>
    <t>TUE</t>
  </si>
  <si>
    <t>WED</t>
  </si>
  <si>
    <t>THU</t>
  </si>
  <si>
    <t>FRI</t>
  </si>
  <si>
    <t>SAT</t>
  </si>
  <si>
    <t>SUN</t>
  </si>
  <si>
    <t>Friday</t>
  </si>
  <si>
    <t>Sunday</t>
  </si>
  <si>
    <t>Tuesday</t>
  </si>
  <si>
    <t>Wednesday</t>
  </si>
  <si>
    <t>Thursday</t>
  </si>
  <si>
    <t>Saturday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</si>
  <si>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</si>
  <si>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</si>
  <si>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</si>
  <si>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</si>
  <si>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</si>
  <si>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</si>
  <si>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</si>
  <si>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</si>
  <si>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</si>
  <si>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</si>
  <si>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</si>
  <si>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</si>
  <si>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</si>
  <si>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</si>
  <si>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</si>
  <si>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</si>
  <si>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</si>
  <si>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</si>
  <si>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</si>
  <si>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</si>
  <si>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</si>
  <si>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</si>
  <si>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</si>
  <si>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</si>
  <si>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week Name</t>
  </si>
  <si>
    <t>month Nmae</t>
  </si>
  <si>
    <t>Custom list</t>
  </si>
  <si>
    <t>Mon</t>
  </si>
  <si>
    <t>Kavita got 50 marks in grade A</t>
  </si>
  <si>
    <t>Calculations vs Formulas vs Functions</t>
  </si>
  <si>
    <t xml:space="preserve"> Syntax   Order or structure</t>
  </si>
  <si>
    <t>Calculations</t>
  </si>
  <si>
    <t>Formulas</t>
  </si>
  <si>
    <t>Function</t>
  </si>
  <si>
    <t>Slow</t>
  </si>
  <si>
    <t>Fast</t>
  </si>
  <si>
    <t>Syntax of a Function</t>
  </si>
  <si>
    <t xml:space="preserve">  =</t>
  </si>
  <si>
    <t>Function name</t>
  </si>
  <si>
    <t>(</t>
  </si>
  <si>
    <t>Argument / Arguments</t>
  </si>
  <si>
    <t>)</t>
  </si>
  <si>
    <t>NOT DYNAMIC</t>
  </si>
  <si>
    <t xml:space="preserve"> DYNAMIC</t>
  </si>
  <si>
    <t>Dynamic</t>
  </si>
  <si>
    <t>ARITHMETIC FUNCTIONS, CELL REFERENCES &amp; NAMED RANGES</t>
  </si>
  <si>
    <t>Emp Code</t>
  </si>
  <si>
    <t>Employee Name</t>
  </si>
  <si>
    <t>Address</t>
  </si>
  <si>
    <t>City</t>
  </si>
  <si>
    <t>Region</t>
  </si>
  <si>
    <t>Department</t>
  </si>
  <si>
    <t>Basic</t>
  </si>
  <si>
    <t>JP Kumar</t>
  </si>
  <si>
    <t>Andheri (W)</t>
  </si>
  <si>
    <t>Mumbai</t>
  </si>
  <si>
    <t>W</t>
  </si>
  <si>
    <t>Training</t>
  </si>
  <si>
    <t>SUM</t>
  </si>
  <si>
    <t>Anjali Thakur</t>
  </si>
  <si>
    <t>Govindpuri</t>
  </si>
  <si>
    <t>Delhi</t>
  </si>
  <si>
    <t>N</t>
  </si>
  <si>
    <t>Accounts</t>
  </si>
  <si>
    <t>AVERAGE</t>
  </si>
  <si>
    <t>Priya Agarwal</t>
  </si>
  <si>
    <t>Sector 9</t>
  </si>
  <si>
    <t>Noida</t>
  </si>
  <si>
    <t>Marketing</t>
  </si>
  <si>
    <t>MAX</t>
  </si>
  <si>
    <t>R Vasu</t>
  </si>
  <si>
    <t>Egmore</t>
  </si>
  <si>
    <t>Chennai</t>
  </si>
  <si>
    <t>S</t>
  </si>
  <si>
    <t>R&amp;D</t>
  </si>
  <si>
    <t>MIN</t>
  </si>
  <si>
    <t>Sanjay Gupta</t>
  </si>
  <si>
    <t>G K - II</t>
  </si>
  <si>
    <t>COUNT</t>
  </si>
  <si>
    <t>Jharna Biswal</t>
  </si>
  <si>
    <t>Link Road</t>
  </si>
  <si>
    <t>Cuttack</t>
  </si>
  <si>
    <t>COUNTA</t>
  </si>
  <si>
    <t>Prakash Dutta</t>
  </si>
  <si>
    <t>Elgin Road</t>
  </si>
  <si>
    <t>Kolkata</t>
  </si>
  <si>
    <t>COUNTBLANK</t>
  </si>
  <si>
    <t>Manisha Guha</t>
  </si>
  <si>
    <t>Alipore</t>
  </si>
  <si>
    <t>COUNTIF</t>
  </si>
  <si>
    <t>Arjun Jain</t>
  </si>
  <si>
    <t>MG Road</t>
  </si>
  <si>
    <t>Arjun Kapoor</t>
  </si>
  <si>
    <t>Kormangala</t>
  </si>
  <si>
    <t>Bangalore</t>
  </si>
  <si>
    <t>SUMIF</t>
  </si>
  <si>
    <t>Abrar</t>
  </si>
  <si>
    <t>Jayanagar</t>
  </si>
  <si>
    <t>AVERAGEIF</t>
  </si>
  <si>
    <t>Shahid Khan</t>
  </si>
  <si>
    <t>M.G Road</t>
  </si>
  <si>
    <t>Mangalore</t>
  </si>
  <si>
    <t>Anupam Mishra</t>
  </si>
  <si>
    <t>Mysore</t>
  </si>
  <si>
    <t>SUMIFS</t>
  </si>
  <si>
    <t>Ashwini</t>
  </si>
  <si>
    <t>AVERAGEIFS</t>
  </si>
  <si>
    <t>Prateek Babbar</t>
  </si>
  <si>
    <t>North Road</t>
  </si>
  <si>
    <t>COUNTIFS</t>
  </si>
  <si>
    <t>Sukanya Reddy</t>
  </si>
  <si>
    <t>MAXIFS</t>
  </si>
  <si>
    <t>Satish Puri</t>
  </si>
  <si>
    <t>Bandra</t>
  </si>
  <si>
    <t>Operation</t>
  </si>
  <si>
    <t>MINIFS</t>
  </si>
  <si>
    <t>Anjum Chopra</t>
  </si>
  <si>
    <t>Worli</t>
  </si>
  <si>
    <t>RANK</t>
  </si>
  <si>
    <t>Akram Khan</t>
  </si>
  <si>
    <t>S P B Road</t>
  </si>
  <si>
    <t>Pune</t>
  </si>
  <si>
    <t>Manish Grover</t>
  </si>
  <si>
    <t>L L R Road</t>
  </si>
  <si>
    <t>LARGE</t>
  </si>
  <si>
    <t>SMALL</t>
  </si>
  <si>
    <t>MODE</t>
  </si>
  <si>
    <t>Measures of central  Tendency</t>
  </si>
  <si>
    <t>MEAN</t>
  </si>
  <si>
    <t>NAMED RANGES</t>
  </si>
  <si>
    <t>Product name</t>
  </si>
  <si>
    <t>Quantity</t>
  </si>
  <si>
    <t>Rate</t>
  </si>
  <si>
    <t>Amount</t>
  </si>
  <si>
    <t>Textbook</t>
  </si>
  <si>
    <t>Pencil</t>
  </si>
  <si>
    <t>Book</t>
  </si>
  <si>
    <t>phone</t>
  </si>
  <si>
    <t>7-up</t>
  </si>
  <si>
    <t>sugar</t>
  </si>
  <si>
    <t>ring</t>
  </si>
  <si>
    <t>Avg</t>
  </si>
  <si>
    <t>Sumproduct</t>
  </si>
  <si>
    <t>Product Name</t>
  </si>
  <si>
    <t>Price per unit</t>
  </si>
  <si>
    <t>Total Amount</t>
  </si>
  <si>
    <t>Pen</t>
  </si>
  <si>
    <t>Milk</t>
  </si>
  <si>
    <t>Bread</t>
  </si>
  <si>
    <t>Colour</t>
  </si>
  <si>
    <t>Pen stand</t>
  </si>
  <si>
    <t>story book</t>
  </si>
  <si>
    <t>Water Bottle</t>
  </si>
  <si>
    <t>Tea</t>
  </si>
  <si>
    <t>Indirect Function</t>
  </si>
  <si>
    <t>CELL REFERENCES</t>
  </si>
  <si>
    <t>Relative Demo</t>
  </si>
  <si>
    <t>Absolute Referencing demo</t>
  </si>
  <si>
    <t>Tax Rat</t>
  </si>
  <si>
    <t>Mixd Referencing</t>
  </si>
  <si>
    <t>EMP NAME</t>
  </si>
  <si>
    <t>Salary</t>
  </si>
  <si>
    <t>Tax</t>
  </si>
  <si>
    <t>Pent</t>
  </si>
  <si>
    <t>pencil</t>
  </si>
  <si>
    <t>DATE, TEXT &amp; INFORMATION FUNCTIONS</t>
  </si>
  <si>
    <t>project stat day is given &amp; holidays are given need to know date , when the project get completed</t>
  </si>
  <si>
    <t>following data are given from the company and they want to know when the emp contact will get end</t>
  </si>
  <si>
    <t>Date</t>
  </si>
  <si>
    <t>ctrl + ;</t>
  </si>
  <si>
    <t xml:space="preserve">NOT DYNAMIC </t>
  </si>
  <si>
    <t>day</t>
  </si>
  <si>
    <t>month</t>
  </si>
  <si>
    <t>Start Day</t>
  </si>
  <si>
    <t>holiday list</t>
  </si>
  <si>
    <t>EDATE</t>
  </si>
  <si>
    <t>EOMONTH</t>
  </si>
  <si>
    <t>Time</t>
  </si>
  <si>
    <t>CTRL+SHIFT+;</t>
  </si>
  <si>
    <t>No.of days</t>
  </si>
  <si>
    <t>Emp name</t>
  </si>
  <si>
    <t>last working days</t>
  </si>
  <si>
    <t>full &amp; final date in same month</t>
  </si>
  <si>
    <t>one month</t>
  </si>
  <si>
    <t>Today</t>
  </si>
  <si>
    <t>DYNAMIC / WHENEVERE YOU OPEN THE DATA GET CHANGE OUTOMATICALLY</t>
  </si>
  <si>
    <t>Now</t>
  </si>
  <si>
    <t>TIME</t>
  </si>
  <si>
    <t>IF WE WANT ONLY TIME NOT DATE</t>
  </si>
  <si>
    <t>Text</t>
  </si>
  <si>
    <t>Workday</t>
  </si>
  <si>
    <t>Workday.intl</t>
  </si>
  <si>
    <t>Yearfrac</t>
  </si>
  <si>
    <t>hour</t>
  </si>
  <si>
    <t>Minute</t>
  </si>
  <si>
    <t>Second</t>
  </si>
  <si>
    <t>time</t>
  </si>
  <si>
    <t>Start date</t>
  </si>
  <si>
    <t>end date</t>
  </si>
  <si>
    <t>how to find days</t>
  </si>
  <si>
    <t>DAYS</t>
  </si>
  <si>
    <t>DATEDIF GIVE YOU DAY,MONTH,YEAR</t>
  </si>
  <si>
    <t>Weekday</t>
  </si>
  <si>
    <t>Weeknum</t>
  </si>
  <si>
    <t>Networkday</t>
  </si>
  <si>
    <t>start date</t>
  </si>
  <si>
    <t>Networkdays.intl</t>
  </si>
  <si>
    <t>Employee name</t>
  </si>
  <si>
    <t>UPPER</t>
  </si>
  <si>
    <t>LOWER</t>
  </si>
  <si>
    <t>PROPER</t>
  </si>
  <si>
    <t>LEN</t>
  </si>
  <si>
    <t>Trim</t>
  </si>
  <si>
    <t>Left</t>
  </si>
  <si>
    <t>Right</t>
  </si>
  <si>
    <t>Mid</t>
  </si>
  <si>
    <t>Concatenate</t>
  </si>
  <si>
    <t>&amp; (oprater)</t>
  </si>
  <si>
    <t>Exact (case sensitive)</t>
  </si>
  <si>
    <t>oprator (=)</t>
  </si>
  <si>
    <t>Find (case sensitive)</t>
  </si>
  <si>
    <t>Search (not case sensitive)</t>
  </si>
  <si>
    <t>substitute (case sensitive)</t>
  </si>
  <si>
    <t>Data</t>
  </si>
  <si>
    <t>Replace</t>
  </si>
  <si>
    <t>JP KUMAr</t>
  </si>
  <si>
    <t>JP                KUMAR</t>
  </si>
  <si>
    <t>JP</t>
  </si>
  <si>
    <t>Kumar</t>
  </si>
  <si>
    <t>JP KUMAR</t>
  </si>
  <si>
    <t>Sales data</t>
  </si>
  <si>
    <t>KAVITa Lalwani</t>
  </si>
  <si>
    <t>Kavita              Lalwani</t>
  </si>
  <si>
    <t>Lalwani</t>
  </si>
  <si>
    <t>Kavita Lalwani</t>
  </si>
  <si>
    <t>Manglore</t>
  </si>
  <si>
    <t>priya AgrwaL</t>
  </si>
  <si>
    <t>Priya      AgrwaL</t>
  </si>
  <si>
    <t>Agrwal</t>
  </si>
  <si>
    <t>Priya AgrwaL</t>
  </si>
  <si>
    <t>Priya Agrwal</t>
  </si>
  <si>
    <t>cost sheet</t>
  </si>
  <si>
    <t>R               Vasu</t>
  </si>
  <si>
    <t>R</t>
  </si>
  <si>
    <t>Vasu</t>
  </si>
  <si>
    <t>SanjaY guPTA</t>
  </si>
  <si>
    <t>Sanjay               Gupta</t>
  </si>
  <si>
    <t>Sanjay</t>
  </si>
  <si>
    <t>Gupta</t>
  </si>
  <si>
    <t>Jhrna Bnsal</t>
  </si>
  <si>
    <t>Jhrna    Bansal</t>
  </si>
  <si>
    <t>Jhrna</t>
  </si>
  <si>
    <t>Bansal</t>
  </si>
  <si>
    <t>Jhrna Bansal</t>
  </si>
  <si>
    <t>Jhara Bansal</t>
  </si>
  <si>
    <t>ARUN jInwari</t>
  </si>
  <si>
    <t>Arun                  KapuR</t>
  </si>
  <si>
    <t>Arun</t>
  </si>
  <si>
    <t>Kapoor</t>
  </si>
  <si>
    <t>Arun KapuR</t>
  </si>
  <si>
    <t>Arun Kapoor</t>
  </si>
  <si>
    <t>arjun KpooR</t>
  </si>
  <si>
    <t>Arjun                  Kapoor</t>
  </si>
  <si>
    <t>Arjun</t>
  </si>
  <si>
    <t>arjun Kapoor</t>
  </si>
  <si>
    <t xml:space="preserve">JAYYAA </t>
  </si>
  <si>
    <t>Radhika                   Srivastava</t>
  </si>
  <si>
    <t>Radhika</t>
  </si>
  <si>
    <t>Srivastava</t>
  </si>
  <si>
    <t>Radhika Srivastava</t>
  </si>
  <si>
    <t>RADHIka srivasTAv</t>
  </si>
  <si>
    <t>FLASH FILL, TABLE CREATION &amp; DATA VALIDATION</t>
  </si>
  <si>
    <t>Fill series</t>
  </si>
  <si>
    <t>Liner</t>
  </si>
  <si>
    <t>Growth do multip</t>
  </si>
  <si>
    <t>Autofill</t>
  </si>
  <si>
    <t>DAY</t>
  </si>
  <si>
    <t>MONTH</t>
  </si>
  <si>
    <t>weekday</t>
  </si>
  <si>
    <t>First Name</t>
  </si>
  <si>
    <t>Last Name</t>
  </si>
  <si>
    <t>Example -1</t>
  </si>
  <si>
    <t>first name Exampl</t>
  </si>
  <si>
    <t>Example -2</t>
  </si>
  <si>
    <t>Example -3</t>
  </si>
  <si>
    <t>Example -4</t>
  </si>
  <si>
    <t>Example -5</t>
  </si>
  <si>
    <t xml:space="preserve">JP </t>
  </si>
  <si>
    <t>Anjali</t>
  </si>
  <si>
    <t>Thakur</t>
  </si>
  <si>
    <t>Agarwal</t>
  </si>
  <si>
    <t xml:space="preserve">R </t>
  </si>
  <si>
    <t xml:space="preserve">Jharna </t>
  </si>
  <si>
    <t>Biswal</t>
  </si>
  <si>
    <t>Prakash</t>
  </si>
  <si>
    <t>Dutta</t>
  </si>
  <si>
    <t>Manisha</t>
  </si>
  <si>
    <t>Guha</t>
  </si>
  <si>
    <t>Jain</t>
  </si>
  <si>
    <t>emp code</t>
  </si>
  <si>
    <t>emp name</t>
  </si>
  <si>
    <t>dept</t>
  </si>
  <si>
    <t>Unique id</t>
  </si>
  <si>
    <t>CTRL + E</t>
  </si>
  <si>
    <t>andheri</t>
  </si>
  <si>
    <t>mumbai</t>
  </si>
  <si>
    <t>w</t>
  </si>
  <si>
    <t>Trining</t>
  </si>
  <si>
    <t>linkroad</t>
  </si>
  <si>
    <t>pune</t>
  </si>
  <si>
    <t>acounting</t>
  </si>
  <si>
    <t>koper</t>
  </si>
  <si>
    <t>delhi</t>
  </si>
  <si>
    <t>n</t>
  </si>
  <si>
    <t>marketing</t>
  </si>
  <si>
    <t>telana</t>
  </si>
  <si>
    <t>noida</t>
  </si>
  <si>
    <t>kondapur</t>
  </si>
  <si>
    <t>chennai</t>
  </si>
  <si>
    <t>s</t>
  </si>
  <si>
    <t>kolkatta</t>
  </si>
  <si>
    <t>e</t>
  </si>
  <si>
    <t>kore road</t>
  </si>
  <si>
    <t>boriwal</t>
  </si>
  <si>
    <t>Hyderabad</t>
  </si>
  <si>
    <t>uppal</t>
  </si>
  <si>
    <t>whitefild</t>
  </si>
  <si>
    <t>Text to column</t>
  </si>
  <si>
    <t>AB-01-2013</t>
  </si>
  <si>
    <t>BC-02-2014</t>
  </si>
  <si>
    <t>KG-02-2015</t>
  </si>
  <si>
    <t>TH-03-3452</t>
  </si>
  <si>
    <t>RV-04-4563</t>
  </si>
  <si>
    <t>RV-34-ASDR</t>
  </si>
  <si>
    <t>AB012013</t>
  </si>
  <si>
    <t>BC022014</t>
  </si>
  <si>
    <t>AB012015</t>
  </si>
  <si>
    <t>BC022016</t>
  </si>
  <si>
    <t>AB012018</t>
  </si>
  <si>
    <t>BC022019</t>
  </si>
  <si>
    <t>AB012020</t>
  </si>
  <si>
    <t>Date DOJ</t>
  </si>
  <si>
    <t>kumar</t>
  </si>
  <si>
    <t>thakur</t>
  </si>
  <si>
    <t>mumtaha</t>
  </si>
  <si>
    <t>gupta</t>
  </si>
  <si>
    <t>Kapur</t>
  </si>
  <si>
    <t>agarwal</t>
  </si>
  <si>
    <t>Paste special funcation</t>
  </si>
  <si>
    <t>Transpose</t>
  </si>
  <si>
    <t>Transpose data in Horizontal format</t>
  </si>
  <si>
    <t>North</t>
  </si>
  <si>
    <t>east</t>
  </si>
  <si>
    <t>west</t>
  </si>
  <si>
    <t>central</t>
  </si>
  <si>
    <t>north-east</t>
  </si>
  <si>
    <t>south-west</t>
  </si>
  <si>
    <t>north-west</t>
  </si>
  <si>
    <t>south-east</t>
  </si>
  <si>
    <t>Transpose data in vertical format</t>
  </si>
  <si>
    <t>Paste link</t>
  </si>
  <si>
    <t>north</t>
  </si>
  <si>
    <t>kavita</t>
  </si>
  <si>
    <t>Jayyaa</t>
  </si>
  <si>
    <t>Skip Blank</t>
  </si>
  <si>
    <t>Sales Data</t>
  </si>
  <si>
    <t>Paste special opration</t>
  </si>
  <si>
    <t>Add</t>
  </si>
  <si>
    <t>Substract</t>
  </si>
  <si>
    <t>Multiply</t>
  </si>
  <si>
    <t>Divide</t>
  </si>
  <si>
    <t>Value</t>
  </si>
  <si>
    <t>Math &amp; Trigonometry</t>
  </si>
  <si>
    <r>
      <t>Excel</t>
    </r>
    <r>
      <rPr>
        <sz val="11"/>
        <color theme="1"/>
        <rFont val="Calibri"/>
        <family val="2"/>
        <scheme val="minor"/>
      </rPr>
      <t xml:space="preserve"> refers to a set of built-in functions that allow you to perform mathematical calculations and trigonometric </t>
    </r>
  </si>
  <si>
    <t>operations directly in Excel spreadsheets. These functions are useful for analyzing data, solving equations, and performing complex calculations.</t>
  </si>
  <si>
    <t>DATA</t>
  </si>
  <si>
    <t>INT</t>
  </si>
  <si>
    <t>ROUND</t>
  </si>
  <si>
    <t>ROUNDUP</t>
  </si>
  <si>
    <t>ROUNDDOWN</t>
  </si>
  <si>
    <t>Power</t>
  </si>
  <si>
    <t>Power functaion</t>
  </si>
  <si>
    <t>^ (Exponents)</t>
  </si>
  <si>
    <t>Roman</t>
  </si>
  <si>
    <t>Arabic</t>
  </si>
  <si>
    <t>REPT</t>
  </si>
  <si>
    <t>SQRT</t>
  </si>
  <si>
    <t>ABS</t>
  </si>
  <si>
    <t>roman will not give any input</t>
  </si>
  <si>
    <t>3999 is the largest num &amp; - 0 should not be there</t>
  </si>
  <si>
    <t>Absolute remove the negative num</t>
  </si>
  <si>
    <t>Data Validation</t>
  </si>
  <si>
    <t>Basic Salary</t>
  </si>
  <si>
    <t>Dept</t>
  </si>
  <si>
    <t>DOJ</t>
  </si>
  <si>
    <t>Gender</t>
  </si>
  <si>
    <t>Mobile num</t>
  </si>
  <si>
    <t>Mobile num with custom</t>
  </si>
  <si>
    <t>INFORMATION FUNCTIONS</t>
  </si>
  <si>
    <t>Functions</t>
  </si>
  <si>
    <t>Istext</t>
  </si>
  <si>
    <t>Excelr</t>
  </si>
  <si>
    <t>Isnumber</t>
  </si>
  <si>
    <t>Isnontext</t>
  </si>
  <si>
    <t>Iseven</t>
  </si>
  <si>
    <t>Isodd</t>
  </si>
  <si>
    <t>isformula</t>
  </si>
  <si>
    <t>islogical</t>
  </si>
  <si>
    <t>isblank</t>
  </si>
  <si>
    <t>ISNA</t>
  </si>
  <si>
    <t>EXLR123</t>
  </si>
  <si>
    <t>Central e</t>
  </si>
  <si>
    <t>DA</t>
  </si>
  <si>
    <t>HRA</t>
  </si>
  <si>
    <t>TA</t>
  </si>
  <si>
    <t>PF</t>
  </si>
  <si>
    <t>BONUS</t>
  </si>
  <si>
    <t>INCENTIVE</t>
  </si>
  <si>
    <t>OVERTIME</t>
  </si>
  <si>
    <t>P.TAX</t>
  </si>
  <si>
    <t>CCA</t>
  </si>
  <si>
    <t>SPECIAL ALLOWANCE</t>
  </si>
  <si>
    <t>GROSS SALARY</t>
  </si>
  <si>
    <t>NET SALARY</t>
  </si>
  <si>
    <t>&lt;5000</t>
  </si>
  <si>
    <t>&gt;= 5000 &amp; &lt;=10000</t>
  </si>
  <si>
    <t>&gt;10000 &amp; &lt;=15000</t>
  </si>
  <si>
    <t>&gt;15000 &amp; &lt;=20000</t>
  </si>
  <si>
    <t>&gt;20000</t>
  </si>
  <si>
    <t>30%*BASIC</t>
  </si>
  <si>
    <t>IFERROR</t>
  </si>
  <si>
    <t>&lt;25000</t>
  </si>
  <si>
    <t>25001 TO 50000</t>
  </si>
  <si>
    <t>50001 TO 75000</t>
  </si>
  <si>
    <t>75001 TO 100000</t>
  </si>
  <si>
    <t>Questions for logical function</t>
  </si>
  <si>
    <t>1 - DA is 30% of basic.</t>
  </si>
  <si>
    <t>2- HRA is 40% of (basic+DA).</t>
  </si>
  <si>
    <t>3- TA is 5000 only for marketing emp.</t>
  </si>
  <si>
    <t>4- PF IS 12% OF BASIC.</t>
  </si>
  <si>
    <t xml:space="preserve">5- Bonus is 40% of basic only for those emp who's in training dept &amp; </t>
  </si>
  <si>
    <t xml:space="preserve">   staying in west region.</t>
  </si>
  <si>
    <t>6-Incentive is 5000 only for those emp who's working with accounts or operation.</t>
  </si>
  <si>
    <t>7-overtime is 3500 for all emp except who's working with accounts&amp; operations.(2method)</t>
  </si>
  <si>
    <t>8-p.tax (2method)ref excel for calcu.P.TAX</t>
  </si>
  <si>
    <t>9- CCA is only for tier-1 city(delhi, mumbai, kolkata, chennai</t>
  </si>
  <si>
    <t>bangalore) 5000.</t>
  </si>
  <si>
    <t>10-special allowance ref excel</t>
  </si>
  <si>
    <t xml:space="preserve">   Training</t>
  </si>
  <si>
    <t xml:space="preserve">   Marketing</t>
  </si>
  <si>
    <t xml:space="preserve">    R&amp;D</t>
  </si>
  <si>
    <t xml:space="preserve">        S</t>
  </si>
  <si>
    <t xml:space="preserve">    Accounts</t>
  </si>
  <si>
    <t xml:space="preserve">11- gross salary </t>
  </si>
  <si>
    <t>12 - net salary</t>
  </si>
  <si>
    <t>Logical Function</t>
  </si>
  <si>
    <t>Data sal</t>
  </si>
  <si>
    <t>DOB</t>
  </si>
  <si>
    <t>Age</t>
  </si>
  <si>
    <t>Accounts 1</t>
  </si>
  <si>
    <t>Training 2</t>
  </si>
  <si>
    <t>Basic more than 100000</t>
  </si>
  <si>
    <t>Basic Less than 60000</t>
  </si>
  <si>
    <t>Between 5000 to 30000</t>
  </si>
  <si>
    <t>Employee staying in mumbai</t>
  </si>
  <si>
    <t>Highlight cell where text contain accounts 1</t>
  </si>
  <si>
    <t>ISEVEN</t>
  </si>
  <si>
    <t>ISODD</t>
  </si>
  <si>
    <t>WEEKEND JOINERS</t>
  </si>
  <si>
    <t>Region wise data selection</t>
  </si>
  <si>
    <t>CONDITIONAL FORMATTING, SORT &amp; FILTER</t>
  </si>
  <si>
    <t>Sorting by order</t>
  </si>
  <si>
    <t>AGE</t>
  </si>
  <si>
    <t>Sorting by icon</t>
  </si>
  <si>
    <t xml:space="preserve"> Muliti sorting</t>
  </si>
  <si>
    <t>Case sensitive</t>
  </si>
  <si>
    <t>CITY</t>
  </si>
  <si>
    <t>Number filter</t>
  </si>
  <si>
    <t>TEXT filter</t>
  </si>
  <si>
    <t>Account</t>
  </si>
  <si>
    <t>Date Filter</t>
  </si>
  <si>
    <t>Advanced filter</t>
  </si>
  <si>
    <t>Wild Cards</t>
  </si>
  <si>
    <t>*</t>
  </si>
  <si>
    <t>Any number of Characters</t>
  </si>
  <si>
    <t>?</t>
  </si>
  <si>
    <t>only one characters</t>
  </si>
  <si>
    <t>LOOKUP FUNCTIONS</t>
  </si>
  <si>
    <t>NAME</t>
  </si>
  <si>
    <t>ADDRESS</t>
  </si>
  <si>
    <t>REGION</t>
  </si>
  <si>
    <t>DEPT</t>
  </si>
  <si>
    <t>SAL</t>
  </si>
  <si>
    <t>DATE</t>
  </si>
  <si>
    <t>Sal</t>
  </si>
  <si>
    <t>jayyaa</t>
  </si>
  <si>
    <t>Note - data should be in Ascending order</t>
  </si>
  <si>
    <t>CITIY</t>
  </si>
  <si>
    <t>Basic SAL</t>
  </si>
  <si>
    <t>banglore</t>
  </si>
  <si>
    <t>Filter By color</t>
  </si>
  <si>
    <t>EMP CODE</t>
  </si>
  <si>
    <t>sal</t>
  </si>
  <si>
    <t>Basic Sal</t>
  </si>
  <si>
    <t>llroad</t>
  </si>
  <si>
    <t>taraining</t>
  </si>
  <si>
    <t>rajesh</t>
  </si>
  <si>
    <t>sp road</t>
  </si>
  <si>
    <t>hr</t>
  </si>
  <si>
    <t>NO.OF  month(Contract)</t>
  </si>
  <si>
    <t>JAYYAA</t>
  </si>
  <si>
    <t>Surname</t>
  </si>
  <si>
    <t>jp</t>
  </si>
  <si>
    <t>anjali</t>
  </si>
  <si>
    <t>"payal</t>
  </si>
  <si>
    <t>rvashu</t>
  </si>
  <si>
    <t>sanjay</t>
  </si>
  <si>
    <t>arjun</t>
  </si>
  <si>
    <t>payal</t>
  </si>
  <si>
    <t>Total Salary</t>
  </si>
  <si>
    <t>Avg Salary</t>
  </si>
  <si>
    <t>Quation</t>
  </si>
  <si>
    <t>Min Salary</t>
  </si>
  <si>
    <t>Max Salary</t>
  </si>
  <si>
    <t>Count the Number of EMP</t>
  </si>
  <si>
    <t>Count the Blank</t>
  </si>
  <si>
    <t>count employees whose salary = 10000</t>
  </si>
  <si>
    <t>Count of employees working in the Training Department</t>
  </si>
  <si>
    <t>Sum of basic salary for employees working in the Training Department</t>
  </si>
  <si>
    <t>AVG of basic salary for employees working in the Training Department</t>
  </si>
  <si>
    <t>Total basic salary of employees working in the Training Department and residing in the W region</t>
  </si>
  <si>
    <t>AVG basic salary of employees working in the Training Department and residing in the W region</t>
  </si>
  <si>
    <t>MAX basic salary of employees working in the Training Department and residing in the W region</t>
  </si>
  <si>
    <t>Min basic salary of employees working in the Training Department and residing in the W region</t>
  </si>
  <si>
    <t>Count of employees working in the Training Department and residing in the W region</t>
  </si>
  <si>
    <t>Rank in ASSANDING Order</t>
  </si>
  <si>
    <t>Rank in Desending Order</t>
  </si>
  <si>
    <t>2nd Largest Salary Amt</t>
  </si>
  <si>
    <t>1st Smallest Salary Amt</t>
  </si>
  <si>
    <t>Median</t>
  </si>
  <si>
    <t>Flashfill</t>
  </si>
  <si>
    <t>HR</t>
  </si>
  <si>
    <t>Research</t>
  </si>
  <si>
    <t>Operations</t>
  </si>
  <si>
    <t>Basic With TA total</t>
  </si>
  <si>
    <t>=IF(G6&lt;5000,0,IF(G6&lt;=10000,50,IF(G6&lt;=15000,100,IF(G6&lt;=20000,150,200))))</t>
  </si>
  <si>
    <t>CTC</t>
  </si>
  <si>
    <t>Sorting by cell color</t>
  </si>
  <si>
    <t>Sorting by font color</t>
  </si>
  <si>
    <t>Custum sort</t>
  </si>
  <si>
    <t>Source data</t>
  </si>
  <si>
    <t>MATCH</t>
  </si>
  <si>
    <t>It is used ti return position of given argument in the header range</t>
  </si>
  <si>
    <t>date</t>
  </si>
  <si>
    <t>Smith</t>
  </si>
  <si>
    <t>LA</t>
  </si>
  <si>
    <t>allanstreet</t>
  </si>
  <si>
    <t>city</t>
  </si>
  <si>
    <t>Citiy</t>
  </si>
  <si>
    <t>Row Labels</t>
  </si>
  <si>
    <t>Grand Total</t>
  </si>
  <si>
    <t>Sum of SAL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</si>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</sst>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&quot;$&quot;#,##0.00"/>
    <numFmt numFmtId="166" formatCode="[$-F400]h:mm:ss\ AM/PM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 tint="0.1499984740745262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C4852"/>
      <name val="Arial"/>
      <family val="2"/>
    </font>
    <font>
      <b/>
      <sz val="11"/>
      <name val="Calibri"/>
      <family val="2"/>
      <scheme val="minor"/>
    </font>
    <font>
      <sz val="11"/>
      <color theme="1" tint="0.249977111117893"/>
      <name val="Arial"/>
      <family val="2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rgb="FF0D452B"/>
      <name val="Trebuchet MS"/>
      <family val="2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rgb="FF0D452B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rgb="FF0D452B"/>
      <name val="Trebuchet MS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D452B"/>
      <name val="Trebuchet MS"/>
      <family val="2"/>
    </font>
    <font>
      <b/>
      <i/>
      <u/>
      <sz val="8"/>
      <color rgb="FFFF0000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00B050"/>
      </patternFill>
    </fill>
    <fill>
      <patternFill patternType="solid">
        <fgColor theme="0"/>
        <bgColor rgb="FFFFE598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47">
    <xf numFmtId="0" fontId="0" fillId="0" borderId="0" xfId="0"/>
    <xf numFmtId="0" fontId="5" fillId="3" borderId="4" xfId="2" applyFont="1" applyFill="1" applyBorder="1" applyAlignment="1">
      <alignment horizontal="center"/>
    </xf>
    <xf numFmtId="0" fontId="4" fillId="4" borderId="4" xfId="2" applyFill="1" applyBorder="1"/>
    <xf numFmtId="0" fontId="6" fillId="4" borderId="4" xfId="2" applyFont="1" applyFill="1" applyBorder="1" applyAlignment="1">
      <alignment horizontal="center"/>
    </xf>
    <xf numFmtId="0" fontId="7" fillId="4" borderId="4" xfId="3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wrapText="1"/>
    </xf>
    <xf numFmtId="0" fontId="13" fillId="7" borderId="5" xfId="0" applyFont="1" applyFill="1" applyBorder="1"/>
    <xf numFmtId="0" fontId="0" fillId="7" borderId="5" xfId="0" applyFill="1" applyBorder="1"/>
    <xf numFmtId="0" fontId="0" fillId="0" borderId="5" xfId="0" applyBorder="1"/>
    <xf numFmtId="0" fontId="14" fillId="0" borderId="0" xfId="0" applyFont="1" applyAlignment="1">
      <alignment horizontal="left" vertical="center" readingOrder="1"/>
    </xf>
    <xf numFmtId="0" fontId="2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13" fillId="5" borderId="0" xfId="0" applyFont="1" applyFill="1"/>
    <xf numFmtId="0" fontId="15" fillId="11" borderId="0" xfId="0" applyFont="1" applyFill="1" applyAlignment="1">
      <alignment wrapText="1"/>
    </xf>
    <xf numFmtId="0" fontId="0" fillId="10" borderId="5" xfId="0" applyFill="1" applyBorder="1"/>
    <xf numFmtId="0" fontId="0" fillId="8" borderId="5" xfId="0" applyFill="1" applyBorder="1"/>
    <xf numFmtId="0" fontId="17" fillId="5" borderId="0" xfId="0" applyFont="1" applyFill="1"/>
    <xf numFmtId="0" fontId="17" fillId="12" borderId="0" xfId="0" applyFont="1" applyFill="1"/>
    <xf numFmtId="9" fontId="0" fillId="10" borderId="0" xfId="0" applyNumberFormat="1" applyFill="1" applyAlignment="1">
      <alignment horizontal="center"/>
    </xf>
    <xf numFmtId="9" fontId="0" fillId="12" borderId="0" xfId="0" applyNumberFormat="1" applyFill="1" applyAlignment="1">
      <alignment horizontal="center"/>
    </xf>
    <xf numFmtId="0" fontId="0" fillId="6" borderId="0" xfId="0" applyFill="1"/>
    <xf numFmtId="0" fontId="18" fillId="0" borderId="0" xfId="0" applyFont="1" applyAlignment="1">
      <alignment horizontal="left" vertical="center" readingOrder="1"/>
    </xf>
    <xf numFmtId="0" fontId="0" fillId="15" borderId="0" xfId="0" applyFill="1"/>
    <xf numFmtId="14" fontId="0" fillId="0" borderId="0" xfId="0" applyNumberFormat="1"/>
    <xf numFmtId="0" fontId="0" fillId="16" borderId="0" xfId="0" applyFill="1"/>
    <xf numFmtId="0" fontId="0" fillId="17" borderId="0" xfId="0" applyFill="1"/>
    <xf numFmtId="0" fontId="0" fillId="6" borderId="0" xfId="0" applyFill="1" applyAlignment="1">
      <alignment horizontal="center"/>
    </xf>
    <xf numFmtId="0" fontId="0" fillId="15" borderId="0" xfId="0" applyFill="1" applyAlignment="1">
      <alignment horizontal="center"/>
    </xf>
    <xf numFmtId="14" fontId="0" fillId="10" borderId="0" xfId="0" applyNumberFormat="1" applyFill="1"/>
    <xf numFmtId="18" fontId="0" fillId="0" borderId="0" xfId="0" applyNumberFormat="1"/>
    <xf numFmtId="14" fontId="0" fillId="6" borderId="0" xfId="0" applyNumberFormat="1" applyFill="1" applyAlignment="1">
      <alignment horizontal="center"/>
    </xf>
    <xf numFmtId="14" fontId="0" fillId="6" borderId="0" xfId="0" applyNumberFormat="1" applyFill="1"/>
    <xf numFmtId="14" fontId="0" fillId="0" borderId="0" xfId="0" applyNumberFormat="1" applyAlignment="1">
      <alignment horizontal="center"/>
    </xf>
    <xf numFmtId="22" fontId="0" fillId="6" borderId="0" xfId="0" applyNumberFormat="1" applyFill="1"/>
    <xf numFmtId="166" fontId="0" fillId="6" borderId="0" xfId="0" applyNumberFormat="1" applyFill="1"/>
    <xf numFmtId="21" fontId="0" fillId="6" borderId="0" xfId="0" applyNumberFormat="1" applyFill="1" applyAlignment="1">
      <alignment horizontal="center"/>
    </xf>
    <xf numFmtId="0" fontId="0" fillId="18" borderId="5" xfId="0" applyFill="1" applyBorder="1"/>
    <xf numFmtId="0" fontId="0" fillId="19" borderId="0" xfId="0" applyFill="1"/>
    <xf numFmtId="0" fontId="0" fillId="19" borderId="0" xfId="0" applyFill="1" applyAlignment="1">
      <alignment horizontal="center"/>
    </xf>
    <xf numFmtId="0" fontId="0" fillId="20" borderId="0" xfId="0" applyFill="1"/>
    <xf numFmtId="0" fontId="0" fillId="18" borderId="0" xfId="0" applyFill="1"/>
    <xf numFmtId="0" fontId="21" fillId="0" borderId="0" xfId="0" applyFont="1" applyAlignment="1">
      <alignment horizontal="left" vertical="center" readingOrder="1"/>
    </xf>
    <xf numFmtId="0" fontId="2" fillId="8" borderId="0" xfId="0" applyFont="1" applyFill="1"/>
    <xf numFmtId="0" fontId="0" fillId="8" borderId="0" xfId="0" applyFill="1" applyAlignment="1">
      <alignment horizontal="center"/>
    </xf>
    <xf numFmtId="0" fontId="16" fillId="0" borderId="0" xfId="6"/>
    <xf numFmtId="0" fontId="0" fillId="10" borderId="0" xfId="0" applyFill="1" applyAlignment="1">
      <alignment horizontal="center"/>
    </xf>
    <xf numFmtId="0" fontId="17" fillId="15" borderId="0" xfId="0" applyFont="1" applyFill="1"/>
    <xf numFmtId="0" fontId="0" fillId="21" borderId="0" xfId="0" applyFill="1"/>
    <xf numFmtId="0" fontId="0" fillId="2" borderId="0" xfId="0" applyFill="1"/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22" fillId="15" borderId="0" xfId="0" applyFont="1" applyFill="1"/>
    <xf numFmtId="0" fontId="0" fillId="0" borderId="0" xfId="0" applyAlignment="1">
      <alignment vertical="center" wrapText="1"/>
    </xf>
    <xf numFmtId="0" fontId="0" fillId="20" borderId="0" xfId="0" applyFill="1" applyAlignment="1">
      <alignment horizontal="center"/>
    </xf>
    <xf numFmtId="0" fontId="22" fillId="8" borderId="0" xfId="0" applyFont="1" applyFill="1"/>
    <xf numFmtId="0" fontId="2" fillId="6" borderId="0" xfId="0" applyFont="1" applyFill="1"/>
    <xf numFmtId="0" fontId="23" fillId="8" borderId="0" xfId="0" applyFont="1" applyFill="1"/>
    <xf numFmtId="0" fontId="2" fillId="22" borderId="0" xfId="0" applyFont="1" applyFill="1"/>
    <xf numFmtId="0" fontId="0" fillId="23" borderId="0" xfId="0" applyFill="1"/>
    <xf numFmtId="0" fontId="17" fillId="8" borderId="0" xfId="0" applyFont="1" applyFill="1"/>
    <xf numFmtId="0" fontId="0" fillId="24" borderId="0" xfId="0" applyFill="1"/>
    <xf numFmtId="0" fontId="2" fillId="12" borderId="0" xfId="0" applyFont="1" applyFill="1"/>
    <xf numFmtId="0" fontId="24" fillId="0" borderId="0" xfId="0" applyFont="1" applyAlignment="1">
      <alignment horizontal="left" vertical="center" readingOrder="1"/>
    </xf>
    <xf numFmtId="0" fontId="13" fillId="0" borderId="0" xfId="0" applyFont="1"/>
    <xf numFmtId="0" fontId="0" fillId="25" borderId="0" xfId="0" applyFill="1"/>
    <xf numFmtId="0" fontId="25" fillId="5" borderId="5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 textRotation="255"/>
    </xf>
    <xf numFmtId="0" fontId="26" fillId="0" borderId="0" xfId="0" applyFont="1"/>
    <xf numFmtId="0" fontId="25" fillId="5" borderId="5" xfId="0" applyFont="1" applyFill="1" applyBorder="1"/>
    <xf numFmtId="0" fontId="26" fillId="6" borderId="5" xfId="0" applyFont="1" applyFill="1" applyBorder="1" applyAlignment="1">
      <alignment horizontal="center" vertical="center"/>
    </xf>
    <xf numFmtId="165" fontId="26" fillId="6" borderId="5" xfId="0" applyNumberFormat="1" applyFont="1" applyFill="1" applyBorder="1" applyAlignment="1">
      <alignment horizontal="center" vertical="center"/>
    </xf>
    <xf numFmtId="0" fontId="26" fillId="5" borderId="0" xfId="0" applyFont="1" applyFill="1"/>
    <xf numFmtId="0" fontId="26" fillId="0" borderId="0" xfId="0" applyFont="1" applyAlignment="1">
      <alignment wrapText="1"/>
    </xf>
    <xf numFmtId="9" fontId="26" fillId="0" borderId="0" xfId="5" applyFont="1"/>
    <xf numFmtId="164" fontId="26" fillId="0" borderId="0" xfId="4" applyFont="1"/>
    <xf numFmtId="14" fontId="0" fillId="20" borderId="0" xfId="0" applyNumberFormat="1" applyFill="1"/>
    <xf numFmtId="0" fontId="0" fillId="26" borderId="0" xfId="0" applyFill="1" applyAlignment="1">
      <alignment horizontal="center"/>
    </xf>
    <xf numFmtId="0" fontId="2" fillId="27" borderId="0" xfId="0" applyFont="1" applyFill="1"/>
    <xf numFmtId="0" fontId="0" fillId="27" borderId="0" xfId="0" applyFill="1" applyAlignment="1">
      <alignment horizontal="center"/>
    </xf>
    <xf numFmtId="0" fontId="0" fillId="27" borderId="0" xfId="0" applyFill="1"/>
    <xf numFmtId="0" fontId="0" fillId="27" borderId="0" xfId="0" applyFill="1" applyAlignment="1">
      <alignment horizontal="center" vertical="center"/>
    </xf>
    <xf numFmtId="0" fontId="0" fillId="0" borderId="6" xfId="0" applyBorder="1"/>
    <xf numFmtId="0" fontId="27" fillId="5" borderId="9" xfId="0" applyFont="1" applyFill="1" applyBorder="1"/>
    <xf numFmtId="0" fontId="27" fillId="5" borderId="10" xfId="0" applyFont="1" applyFill="1" applyBorder="1"/>
    <xf numFmtId="0" fontId="27" fillId="5" borderId="11" xfId="0" applyFont="1" applyFill="1" applyBorder="1"/>
    <xf numFmtId="0" fontId="0" fillId="28" borderId="9" xfId="0" applyFill="1" applyBorder="1"/>
    <xf numFmtId="0" fontId="0" fillId="28" borderId="10" xfId="0" applyFill="1" applyBorder="1"/>
    <xf numFmtId="0" fontId="0" fillId="28" borderId="1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7" fontId="0" fillId="0" borderId="0" xfId="0" applyNumberFormat="1"/>
    <xf numFmtId="20" fontId="0" fillId="0" borderId="0" xfId="0" applyNumberFormat="1"/>
    <xf numFmtId="0" fontId="28" fillId="0" borderId="0" xfId="0" applyFont="1"/>
    <xf numFmtId="0" fontId="28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1" fillId="27" borderId="0" xfId="0" applyFont="1" applyFill="1"/>
    <xf numFmtId="0" fontId="31" fillId="0" borderId="0" xfId="0" applyFont="1"/>
    <xf numFmtId="0" fontId="0" fillId="8" borderId="10" xfId="0" applyFill="1" applyBorder="1"/>
    <xf numFmtId="0" fontId="0" fillId="29" borderId="10" xfId="0" applyFill="1" applyBorder="1"/>
    <xf numFmtId="0" fontId="32" fillId="28" borderId="10" xfId="0" applyFont="1" applyFill="1" applyBorder="1"/>
    <xf numFmtId="0" fontId="0" fillId="28" borderId="7" xfId="0" applyFill="1" applyBorder="1"/>
    <xf numFmtId="0" fontId="32" fillId="28" borderId="7" xfId="0" applyFont="1" applyFill="1" applyBorder="1"/>
    <xf numFmtId="0" fontId="0" fillId="28" borderId="8" xfId="0" applyFill="1" applyBorder="1"/>
    <xf numFmtId="0" fontId="34" fillId="0" borderId="0" xfId="0" applyFont="1" applyAlignment="1">
      <alignment horizontal="center" wrapText="1"/>
    </xf>
    <xf numFmtId="0" fontId="33" fillId="0" borderId="0" xfId="0" applyFont="1" applyAlignment="1">
      <alignment wrapText="1"/>
    </xf>
    <xf numFmtId="0" fontId="35" fillId="8" borderId="0" xfId="0" applyFont="1" applyFill="1" applyAlignment="1">
      <alignment wrapText="1"/>
    </xf>
    <xf numFmtId="0" fontId="32" fillId="8" borderId="0" xfId="0" applyFont="1" applyFill="1"/>
    <xf numFmtId="2" fontId="0" fillId="8" borderId="0" xfId="0" applyNumberFormat="1" applyFill="1"/>
    <xf numFmtId="2" fontId="0" fillId="0" borderId="0" xfId="0" applyNumberFormat="1"/>
    <xf numFmtId="0" fontId="27" fillId="3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 wrapText="1"/>
    </xf>
    <xf numFmtId="0" fontId="3" fillId="2" borderId="0" xfId="1" applyFont="1" applyFill="1" applyAlignment="1">
      <alignment horizontal="left" indent="5"/>
    </xf>
    <xf numFmtId="0" fontId="5" fillId="3" borderId="1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left" vertical="center" wrapText="1"/>
    </xf>
    <xf numFmtId="0" fontId="5" fillId="3" borderId="0" xfId="2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12" fillId="7" borderId="0" xfId="0" applyFont="1" applyFill="1" applyAlignment="1">
      <alignment horizontal="center" wrapText="1"/>
    </xf>
    <xf numFmtId="0" fontId="0" fillId="2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3" borderId="0" xfId="0" applyFill="1" applyAlignment="1">
      <alignment horizontal="center" vertical="center" wrapText="1"/>
    </xf>
    <xf numFmtId="0" fontId="0" fillId="23" borderId="0" xfId="0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33" fillId="8" borderId="0" xfId="0" applyFont="1" applyFill="1" applyAlignment="1">
      <alignment horizontal="center" wrapText="1"/>
    </xf>
    <xf numFmtId="0" fontId="33" fillId="8" borderId="0" xfId="0" applyFont="1" applyFill="1" applyAlignment="1">
      <alignment horizontal="center"/>
    </xf>
    <xf numFmtId="0" fontId="29" fillId="8" borderId="0" xfId="0" applyFont="1" applyFill="1" applyAlignment="1">
      <alignment horizontal="center"/>
    </xf>
    <xf numFmtId="0" fontId="36" fillId="8" borderId="0" xfId="0" applyFont="1" applyFill="1" applyAlignment="1">
      <alignment horizontal="center"/>
    </xf>
    <xf numFmtId="0" fontId="38" fillId="8" borderId="0" xfId="0" applyFont="1" applyFill="1" applyAlignment="1">
      <alignment horizontal="center"/>
    </xf>
    <xf numFmtId="0" fontId="37" fillId="8" borderId="0" xfId="0" applyFont="1" applyFill="1" applyAlignment="1">
      <alignment horizontal="center"/>
    </xf>
    <xf numFmtId="0" fontId="37" fillId="8" borderId="0" xfId="0" applyFont="1" applyFill="1" applyAlignment="1">
      <alignment horizontal="center" wrapText="1"/>
    </xf>
    <xf numFmtId="0" fontId="39" fillId="8" borderId="0" xfId="0" applyFont="1" applyFill="1" applyAlignment="1">
      <alignment horizontal="center"/>
    </xf>
    <xf numFmtId="0" fontId="28" fillId="8" borderId="0" xfId="0" applyFont="1" applyFill="1" applyAlignment="1">
      <alignment horizontal="center"/>
    </xf>
  </cellXfs>
  <cellStyles count="7">
    <cellStyle name="Comma" xfId="4" builtinId="3"/>
    <cellStyle name="Hyperlink" xfId="6" builtinId="8"/>
    <cellStyle name="Hyperlink 3" xfId="3" xr:uid="{E702B0D3-AB59-4889-A3F1-05AECC0F3E04}"/>
    <cellStyle name="Normal" xfId="0" builtinId="0"/>
    <cellStyle name="Normal 3" xfId="2" xr:uid="{1B298074-2A31-45C6-B6C8-DB01FA93DC39}"/>
    <cellStyle name="Normal 6 3" xfId="1" xr:uid="{120C71B0-9917-4A55-A3E2-38F4DE100D15}"/>
    <cellStyle name="Percent" xfId="5" builtinId="5"/>
  </cellStyles>
  <dxfs count="17">
    <dxf>
      <fill>
        <patternFill>
          <bgColor rgb="FFFF0000"/>
        </patternFill>
      </fill>
    </dxf>
    <dxf>
      <fill>
        <patternFill>
          <bgColor rgb="FF3A5818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theme="9" tint="-0.499984740745262"/>
        </patternFill>
      </fill>
    </dxf>
    <dxf>
      <fill>
        <patternFill>
          <bgColor theme="1" tint="0.24994659260841701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Invisible" pivot="0" table="0" count="0" xr9:uid="{5938241D-9BAF-4638-BED3-B003A078EDB6}"/>
  </tableStyles>
  <colors>
    <mruColors>
      <color rgb="FF3A58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[Excel_practices.xlsx]Sheet1!PivotTable1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Sheet1!$A$5:$A$27</c:f>
              <c:strCache>
                <c:ptCount val="22"/>
                <c:pt idx="0">
                  <c:v>Abrar</c:v>
                </c:pt>
                <c:pt idx="1">
                  <c:v>Akram Khan</c:v>
                </c:pt>
                <c:pt idx="2">
                  <c:v>Anjali Thakur</c:v>
                </c:pt>
                <c:pt idx="3">
                  <c:v>Anjum Chopra</c:v>
                </c:pt>
                <c:pt idx="4">
                  <c:v>Anupam Mishra</c:v>
                </c:pt>
                <c:pt idx="5">
                  <c:v>Arjun Jain</c:v>
                </c:pt>
                <c:pt idx="6">
                  <c:v>Arjun Kapoor</c:v>
                </c:pt>
                <c:pt idx="7">
                  <c:v>Ashwini</c:v>
                </c:pt>
                <c:pt idx="8">
                  <c:v>jayyaa</c:v>
                </c:pt>
                <c:pt idx="9">
                  <c:v>Jharna Biswal</c:v>
                </c:pt>
                <c:pt idx="10">
                  <c:v>JP Kumar</c:v>
                </c:pt>
                <c:pt idx="11">
                  <c:v>Manish Grover</c:v>
                </c:pt>
                <c:pt idx="12">
                  <c:v>Manisha Guha</c:v>
                </c:pt>
                <c:pt idx="13">
                  <c:v>Prakash Dutta</c:v>
                </c:pt>
                <c:pt idx="14">
                  <c:v>Prateek Babbar</c:v>
                </c:pt>
                <c:pt idx="15">
                  <c:v>Priya Agarwal</c:v>
                </c:pt>
                <c:pt idx="16">
                  <c:v>R Vasu</c:v>
                </c:pt>
                <c:pt idx="17">
                  <c:v>rajesh</c:v>
                </c:pt>
                <c:pt idx="18">
                  <c:v>Sanjay Gupta</c:v>
                </c:pt>
                <c:pt idx="19">
                  <c:v>Satish Puri</c:v>
                </c:pt>
                <c:pt idx="20">
                  <c:v>Shahid Khan</c:v>
                </c:pt>
                <c:pt idx="21">
                  <c:v>Sukanya Reddy</c:v>
                </c:pt>
              </c:strCache>
            </c:strRef>
          </c:cat>
          <c:val>
            <c:numRef>
              <c:f>Sheet1!$B$5:$B$27</c:f>
              <c:numCache>
                <c:formatCode>General</c:formatCode>
                <c:ptCount val="22"/>
                <c:pt idx="0">
                  <c:v>11250</c:v>
                </c:pt>
                <c:pt idx="2">
                  <c:v>8750</c:v>
                </c:pt>
                <c:pt idx="4">
                  <c:v>16250</c:v>
                </c:pt>
                <c:pt idx="6">
                  <c:v>8750</c:v>
                </c:pt>
                <c:pt idx="7">
                  <c:v>6400</c:v>
                </c:pt>
                <c:pt idx="16">
                  <c:v>10000</c:v>
                </c:pt>
                <c:pt idx="20">
                  <c:v>10000</c:v>
                </c:pt>
                <c:pt idx="21">
                  <c:v>6275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7-4B14-936D-57C4FA37DEF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Sheet1!$A$5:$A$27</c:f>
              <c:strCache>
                <c:ptCount val="22"/>
                <c:pt idx="0">
                  <c:v>Abrar</c:v>
                </c:pt>
                <c:pt idx="1">
                  <c:v>Akram Khan</c:v>
                </c:pt>
                <c:pt idx="2">
                  <c:v>Anjali Thakur</c:v>
                </c:pt>
                <c:pt idx="3">
                  <c:v>Anjum Chopra</c:v>
                </c:pt>
                <c:pt idx="4">
                  <c:v>Anupam Mishra</c:v>
                </c:pt>
                <c:pt idx="5">
                  <c:v>Arjun Jain</c:v>
                </c:pt>
                <c:pt idx="6">
                  <c:v>Arjun Kapoor</c:v>
                </c:pt>
                <c:pt idx="7">
                  <c:v>Ashwini</c:v>
                </c:pt>
                <c:pt idx="8">
                  <c:v>jayyaa</c:v>
                </c:pt>
                <c:pt idx="9">
                  <c:v>Jharna Biswal</c:v>
                </c:pt>
                <c:pt idx="10">
                  <c:v>JP Kumar</c:v>
                </c:pt>
                <c:pt idx="11">
                  <c:v>Manish Grover</c:v>
                </c:pt>
                <c:pt idx="12">
                  <c:v>Manisha Guha</c:v>
                </c:pt>
                <c:pt idx="13">
                  <c:v>Prakash Dutta</c:v>
                </c:pt>
                <c:pt idx="14">
                  <c:v>Prateek Babbar</c:v>
                </c:pt>
                <c:pt idx="15">
                  <c:v>Priya Agarwal</c:v>
                </c:pt>
                <c:pt idx="16">
                  <c:v>R Vasu</c:v>
                </c:pt>
                <c:pt idx="17">
                  <c:v>rajesh</c:v>
                </c:pt>
                <c:pt idx="18">
                  <c:v>Sanjay Gupta</c:v>
                </c:pt>
                <c:pt idx="19">
                  <c:v>Satish Puri</c:v>
                </c:pt>
                <c:pt idx="20">
                  <c:v>Shahid Khan</c:v>
                </c:pt>
                <c:pt idx="21">
                  <c:v>Sukanya Reddy</c:v>
                </c:pt>
              </c:strCache>
            </c:strRef>
          </c:cat>
          <c:val>
            <c:numRef>
              <c:f>Sheet1!$C$5:$C$27</c:f>
              <c:numCache>
                <c:formatCode>General</c:formatCode>
                <c:ptCount val="22"/>
                <c:pt idx="1">
                  <c:v>11250</c:v>
                </c:pt>
                <c:pt idx="3">
                  <c:v>8750</c:v>
                </c:pt>
                <c:pt idx="5">
                  <c:v>6250</c:v>
                </c:pt>
                <c:pt idx="10">
                  <c:v>30000</c:v>
                </c:pt>
                <c:pt idx="19">
                  <c:v>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7-4B14-936D-57C4FA37DEF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Sheet1!$A$5:$A$27</c:f>
              <c:strCache>
                <c:ptCount val="22"/>
                <c:pt idx="0">
                  <c:v>Abrar</c:v>
                </c:pt>
                <c:pt idx="1">
                  <c:v>Akram Khan</c:v>
                </c:pt>
                <c:pt idx="2">
                  <c:v>Anjali Thakur</c:v>
                </c:pt>
                <c:pt idx="3">
                  <c:v>Anjum Chopra</c:v>
                </c:pt>
                <c:pt idx="4">
                  <c:v>Anupam Mishra</c:v>
                </c:pt>
                <c:pt idx="5">
                  <c:v>Arjun Jain</c:v>
                </c:pt>
                <c:pt idx="6">
                  <c:v>Arjun Kapoor</c:v>
                </c:pt>
                <c:pt idx="7">
                  <c:v>Ashwini</c:v>
                </c:pt>
                <c:pt idx="8">
                  <c:v>jayyaa</c:v>
                </c:pt>
                <c:pt idx="9">
                  <c:v>Jharna Biswal</c:v>
                </c:pt>
                <c:pt idx="10">
                  <c:v>JP Kumar</c:v>
                </c:pt>
                <c:pt idx="11">
                  <c:v>Manish Grover</c:v>
                </c:pt>
                <c:pt idx="12">
                  <c:v>Manisha Guha</c:v>
                </c:pt>
                <c:pt idx="13">
                  <c:v>Prakash Dutta</c:v>
                </c:pt>
                <c:pt idx="14">
                  <c:v>Prateek Babbar</c:v>
                </c:pt>
                <c:pt idx="15">
                  <c:v>Priya Agarwal</c:v>
                </c:pt>
                <c:pt idx="16">
                  <c:v>R Vasu</c:v>
                </c:pt>
                <c:pt idx="17">
                  <c:v>rajesh</c:v>
                </c:pt>
                <c:pt idx="18">
                  <c:v>Sanjay Gupta</c:v>
                </c:pt>
                <c:pt idx="19">
                  <c:v>Satish Puri</c:v>
                </c:pt>
                <c:pt idx="20">
                  <c:v>Shahid Khan</c:v>
                </c:pt>
                <c:pt idx="21">
                  <c:v>Sukanya Reddy</c:v>
                </c:pt>
              </c:strCache>
            </c:strRef>
          </c:cat>
          <c:val>
            <c:numRef>
              <c:f>Sheet1!$D$5:$D$27</c:f>
              <c:numCache>
                <c:formatCode>General</c:formatCode>
                <c:ptCount val="22"/>
                <c:pt idx="9">
                  <c:v>6400</c:v>
                </c:pt>
                <c:pt idx="12">
                  <c:v>6275</c:v>
                </c:pt>
                <c:pt idx="13">
                  <c:v>4500</c:v>
                </c:pt>
                <c:pt idx="17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7-4B14-936D-57C4FA37DEFD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Sheet1!$A$5:$A$27</c:f>
              <c:strCache>
                <c:ptCount val="22"/>
                <c:pt idx="0">
                  <c:v>Abrar</c:v>
                </c:pt>
                <c:pt idx="1">
                  <c:v>Akram Khan</c:v>
                </c:pt>
                <c:pt idx="2">
                  <c:v>Anjali Thakur</c:v>
                </c:pt>
                <c:pt idx="3">
                  <c:v>Anjum Chopra</c:v>
                </c:pt>
                <c:pt idx="4">
                  <c:v>Anupam Mishra</c:v>
                </c:pt>
                <c:pt idx="5">
                  <c:v>Arjun Jain</c:v>
                </c:pt>
                <c:pt idx="6">
                  <c:v>Arjun Kapoor</c:v>
                </c:pt>
                <c:pt idx="7">
                  <c:v>Ashwini</c:v>
                </c:pt>
                <c:pt idx="8">
                  <c:v>jayyaa</c:v>
                </c:pt>
                <c:pt idx="9">
                  <c:v>Jharna Biswal</c:v>
                </c:pt>
                <c:pt idx="10">
                  <c:v>JP Kumar</c:v>
                </c:pt>
                <c:pt idx="11">
                  <c:v>Manish Grover</c:v>
                </c:pt>
                <c:pt idx="12">
                  <c:v>Manisha Guha</c:v>
                </c:pt>
                <c:pt idx="13">
                  <c:v>Prakash Dutta</c:v>
                </c:pt>
                <c:pt idx="14">
                  <c:v>Prateek Babbar</c:v>
                </c:pt>
                <c:pt idx="15">
                  <c:v>Priya Agarwal</c:v>
                </c:pt>
                <c:pt idx="16">
                  <c:v>R Vasu</c:v>
                </c:pt>
                <c:pt idx="17">
                  <c:v>rajesh</c:v>
                </c:pt>
                <c:pt idx="18">
                  <c:v>Sanjay Gupta</c:v>
                </c:pt>
                <c:pt idx="19">
                  <c:v>Satish Puri</c:v>
                </c:pt>
                <c:pt idx="20">
                  <c:v>Shahid Khan</c:v>
                </c:pt>
                <c:pt idx="21">
                  <c:v>Sukanya Reddy</c:v>
                </c:pt>
              </c:strCache>
            </c:strRef>
          </c:cat>
          <c:val>
            <c:numRef>
              <c:f>Sheet1!$E$5:$E$27</c:f>
              <c:numCache>
                <c:formatCode>General</c:formatCode>
                <c:ptCount val="22"/>
                <c:pt idx="8">
                  <c:v>20000</c:v>
                </c:pt>
                <c:pt idx="11">
                  <c:v>20000</c:v>
                </c:pt>
                <c:pt idx="14">
                  <c:v>24000</c:v>
                </c:pt>
                <c:pt idx="15">
                  <c:v>11250</c:v>
                </c:pt>
                <c:pt idx="18">
                  <c:v>16250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07-4B14-936D-57C4FA37D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709872"/>
        <c:axId val="869708432"/>
      </c:barChart>
      <c:catAx>
        <c:axId val="86970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08432"/>
        <c:crosses val="autoZero"/>
        <c:auto val="1"/>
        <c:lblAlgn val="ctr"/>
        <c:lblOffset val="100"/>
        <c:noMultiLvlLbl val="0"/>
      </c:catAx>
      <c:valAx>
        <c:axId val="86970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0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2.xml"/><Relationship Id="rId18" Type="http://schemas.openxmlformats.org/officeDocument/2006/relationships/customXml" Target="../ink/ink17.xml"/><Relationship Id="rId26" Type="http://schemas.openxmlformats.org/officeDocument/2006/relationships/customXml" Target="../ink/ink25.xml"/><Relationship Id="rId39" Type="http://schemas.openxmlformats.org/officeDocument/2006/relationships/customXml" Target="../ink/ink38.xml"/><Relationship Id="rId21" Type="http://schemas.openxmlformats.org/officeDocument/2006/relationships/customXml" Target="../ink/ink20.xml"/><Relationship Id="rId34" Type="http://schemas.openxmlformats.org/officeDocument/2006/relationships/customXml" Target="../ink/ink33.xml"/><Relationship Id="rId42" Type="http://schemas.openxmlformats.org/officeDocument/2006/relationships/customXml" Target="../ink/ink41.xml"/><Relationship Id="rId47" Type="http://schemas.openxmlformats.org/officeDocument/2006/relationships/customXml" Target="../ink/ink46.xml"/><Relationship Id="rId50" Type="http://schemas.openxmlformats.org/officeDocument/2006/relationships/customXml" Target="../ink/ink49.xml"/><Relationship Id="rId55" Type="http://schemas.openxmlformats.org/officeDocument/2006/relationships/customXml" Target="../ink/ink54.xml"/><Relationship Id="rId7" Type="http://schemas.openxmlformats.org/officeDocument/2006/relationships/customXml" Target="../ink/ink6.xml"/><Relationship Id="rId2" Type="http://schemas.openxmlformats.org/officeDocument/2006/relationships/image" Target="../media/image1.png"/><Relationship Id="rId16" Type="http://schemas.openxmlformats.org/officeDocument/2006/relationships/customXml" Target="../ink/ink15.xml"/><Relationship Id="rId29" Type="http://schemas.openxmlformats.org/officeDocument/2006/relationships/customXml" Target="../ink/ink28.xml"/><Relationship Id="rId11" Type="http://schemas.openxmlformats.org/officeDocument/2006/relationships/customXml" Target="../ink/ink10.xml"/><Relationship Id="rId24" Type="http://schemas.openxmlformats.org/officeDocument/2006/relationships/customXml" Target="../ink/ink23.xml"/><Relationship Id="rId32" Type="http://schemas.openxmlformats.org/officeDocument/2006/relationships/customXml" Target="../ink/ink31.xml"/><Relationship Id="rId37" Type="http://schemas.openxmlformats.org/officeDocument/2006/relationships/customXml" Target="../ink/ink36.xml"/><Relationship Id="rId40" Type="http://schemas.openxmlformats.org/officeDocument/2006/relationships/customXml" Target="../ink/ink39.xml"/><Relationship Id="rId45" Type="http://schemas.openxmlformats.org/officeDocument/2006/relationships/customXml" Target="../ink/ink44.xml"/><Relationship Id="rId53" Type="http://schemas.openxmlformats.org/officeDocument/2006/relationships/customXml" Target="../ink/ink52.xml"/><Relationship Id="rId58" Type="http://schemas.openxmlformats.org/officeDocument/2006/relationships/customXml" Target="../ink/ink57.xml"/><Relationship Id="rId5" Type="http://schemas.openxmlformats.org/officeDocument/2006/relationships/customXml" Target="../ink/ink4.xml"/><Relationship Id="rId61" Type="http://schemas.openxmlformats.org/officeDocument/2006/relationships/customXml" Target="../ink/ink60.xml"/><Relationship Id="rId19" Type="http://schemas.openxmlformats.org/officeDocument/2006/relationships/customXml" Target="../ink/ink18.xml"/><Relationship Id="rId14" Type="http://schemas.openxmlformats.org/officeDocument/2006/relationships/customXml" Target="../ink/ink13.xml"/><Relationship Id="rId22" Type="http://schemas.openxmlformats.org/officeDocument/2006/relationships/customXml" Target="../ink/ink21.xml"/><Relationship Id="rId27" Type="http://schemas.openxmlformats.org/officeDocument/2006/relationships/customXml" Target="../ink/ink26.xml"/><Relationship Id="rId30" Type="http://schemas.openxmlformats.org/officeDocument/2006/relationships/customXml" Target="../ink/ink29.xml"/><Relationship Id="rId35" Type="http://schemas.openxmlformats.org/officeDocument/2006/relationships/customXml" Target="../ink/ink34.xml"/><Relationship Id="rId43" Type="http://schemas.openxmlformats.org/officeDocument/2006/relationships/customXml" Target="../ink/ink42.xml"/><Relationship Id="rId48" Type="http://schemas.openxmlformats.org/officeDocument/2006/relationships/customXml" Target="../ink/ink47.xml"/><Relationship Id="rId56" Type="http://schemas.openxmlformats.org/officeDocument/2006/relationships/customXml" Target="../ink/ink55.xml"/><Relationship Id="rId8" Type="http://schemas.openxmlformats.org/officeDocument/2006/relationships/customXml" Target="../ink/ink7.xml"/><Relationship Id="rId51" Type="http://schemas.openxmlformats.org/officeDocument/2006/relationships/customXml" Target="../ink/ink50.xml"/><Relationship Id="rId3" Type="http://schemas.openxmlformats.org/officeDocument/2006/relationships/customXml" Target="../ink/ink2.xml"/><Relationship Id="rId12" Type="http://schemas.openxmlformats.org/officeDocument/2006/relationships/customXml" Target="../ink/ink11.xml"/><Relationship Id="rId17" Type="http://schemas.openxmlformats.org/officeDocument/2006/relationships/customXml" Target="../ink/ink16.xml"/><Relationship Id="rId25" Type="http://schemas.openxmlformats.org/officeDocument/2006/relationships/customXml" Target="../ink/ink24.xml"/><Relationship Id="rId33" Type="http://schemas.openxmlformats.org/officeDocument/2006/relationships/customXml" Target="../ink/ink32.xml"/><Relationship Id="rId38" Type="http://schemas.openxmlformats.org/officeDocument/2006/relationships/customXml" Target="../ink/ink37.xml"/><Relationship Id="rId46" Type="http://schemas.openxmlformats.org/officeDocument/2006/relationships/customXml" Target="../ink/ink45.xml"/><Relationship Id="rId59" Type="http://schemas.openxmlformats.org/officeDocument/2006/relationships/customXml" Target="../ink/ink58.xml"/><Relationship Id="rId20" Type="http://schemas.openxmlformats.org/officeDocument/2006/relationships/customXml" Target="../ink/ink19.xml"/><Relationship Id="rId41" Type="http://schemas.openxmlformats.org/officeDocument/2006/relationships/customXml" Target="../ink/ink40.xml"/><Relationship Id="rId54" Type="http://schemas.openxmlformats.org/officeDocument/2006/relationships/customXml" Target="../ink/ink53.xml"/><Relationship Id="rId62" Type="http://schemas.openxmlformats.org/officeDocument/2006/relationships/customXml" Target="../ink/ink61.xm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5" Type="http://schemas.openxmlformats.org/officeDocument/2006/relationships/customXml" Target="../ink/ink14.xml"/><Relationship Id="rId23" Type="http://schemas.openxmlformats.org/officeDocument/2006/relationships/customXml" Target="../ink/ink22.xml"/><Relationship Id="rId28" Type="http://schemas.openxmlformats.org/officeDocument/2006/relationships/customXml" Target="../ink/ink27.xml"/><Relationship Id="rId36" Type="http://schemas.openxmlformats.org/officeDocument/2006/relationships/customXml" Target="../ink/ink35.xml"/><Relationship Id="rId49" Type="http://schemas.openxmlformats.org/officeDocument/2006/relationships/customXml" Target="../ink/ink48.xml"/><Relationship Id="rId57" Type="http://schemas.openxmlformats.org/officeDocument/2006/relationships/customXml" Target="../ink/ink56.xml"/><Relationship Id="rId10" Type="http://schemas.openxmlformats.org/officeDocument/2006/relationships/customXml" Target="../ink/ink9.xml"/><Relationship Id="rId31" Type="http://schemas.openxmlformats.org/officeDocument/2006/relationships/customXml" Target="../ink/ink30.xml"/><Relationship Id="rId44" Type="http://schemas.openxmlformats.org/officeDocument/2006/relationships/customXml" Target="../ink/ink43.xml"/><Relationship Id="rId52" Type="http://schemas.openxmlformats.org/officeDocument/2006/relationships/customXml" Target="../ink/ink51.xml"/><Relationship Id="rId60" Type="http://schemas.openxmlformats.org/officeDocument/2006/relationships/customXml" Target="../ink/ink59.xml"/><Relationship Id="rId4" Type="http://schemas.openxmlformats.org/officeDocument/2006/relationships/customXml" Target="../ink/ink3.xml"/><Relationship Id="rId9" Type="http://schemas.openxmlformats.org/officeDocument/2006/relationships/customXml" Target="../ink/ink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1262893</xdr:colOff>
      <xdr:row>2</xdr:row>
      <xdr:rowOff>111131</xdr:rowOff>
    </xdr:from>
    <xdr:to>
      <xdr:col>2</xdr:col>
      <xdr:colOff>1272253</xdr:colOff>
      <xdr:row>2</xdr:row>
      <xdr:rowOff>121571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B28F555-B50E-C6E5-5198-4C32F3DA28E3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B28F555-B50E-C6E5-5198-4C32F3DA28E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1262893</xdr:colOff>
      <xdr:row>3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B5CCAD0-4D98-407C-B711-9ED76DEBE22E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9B5CCAD0-4D98-407C-B711-9ED76DEBE2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4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AD9145A-B3E7-4978-BF4A-5715D488CDE1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AD9145A-B3E7-4978-BF4A-5715D488CD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5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DB30D61-87D5-4740-8666-80ACB834BCF5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DB30D61-87D5-4740-8666-80ACB834BC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6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EC921C6-09FA-4FBC-B459-2C77C3D01240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EC921C6-09FA-4FBC-B459-2C77C3D0124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7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1C2DD81-CC24-4E2F-8162-DAABE1870A24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1C2DD81-CC24-4E2F-8162-DAABE1870A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8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9228D10-15DB-4198-AE23-7997BC245A9E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9228D10-15DB-4198-AE23-7997BC245A9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9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73632B00-046A-4304-A67D-5F93EAF9BC7C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73632B00-046A-4304-A67D-5F93EAF9BC7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10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23D937D-1A49-40D0-AEFF-B39C0D6A3E0D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23D937D-1A49-40D0-AEFF-B39C0D6A3E0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11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09AC66E-0602-4263-A9EC-3FB230E4205E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09AC66E-0602-4263-A9EC-3FB230E420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12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FD7C5468-A22C-4198-86F7-E1ED7BF39923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D7C5468-A22C-4198-86F7-E1ED7BF399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13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47D7CE6-F4D2-4336-83C7-0C5B8FCF0A1C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47D7CE6-F4D2-4336-83C7-0C5B8FCF0A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14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F66A591-C217-464D-8330-D0E48D19E63A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F66A591-C217-464D-8330-D0E48D19E63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15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FEF5E4C4-D561-4641-B908-012E40096956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FEF5E4C4-D561-4641-B908-012E4009695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16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445C276-69E2-42B3-B79C-6D7E952EB6CA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445C276-69E2-42B3-B79C-6D7E952EB6C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17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17157D70-F1C1-4F3C-A938-0B1F39503F54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17157D70-F1C1-4F3C-A938-0B1F39503F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18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32867186-4DFA-46A9-B715-A520D03605B5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32867186-4DFA-46A9-B715-A520D03605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19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5A4C0E15-255E-46DA-93BC-FA8C32EBEAF6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5A4C0E15-255E-46DA-93BC-FA8C32EBEA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20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35A6343-35C1-41C5-B33F-9CC7FBE2F9E1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335A6343-35C1-41C5-B33F-9CC7FBE2F9E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21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29BA373-C02C-4CE1-A06A-E833FB502973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E29BA373-C02C-4CE1-A06A-E833FB5029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22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636CA59-A1C2-4796-8FB0-9B8FF13A7030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636CA59-A1C2-4796-8FB0-9B8FF13A70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3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24C2EC6C-1E86-4159-B09F-920771C25087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24C2EC6C-1E86-4159-B09F-920771C2508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4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29E725D-F0CC-48EA-99DD-68653A8DE9CF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29E725D-F0CC-48EA-99DD-68653A8DE9C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5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356C5BE1-2D06-4A33-B627-8FF97E58D8B1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56C5BE1-2D06-4A33-B627-8FF97E58D8B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6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1454F1F-48A1-461D-97FA-D5F5CC060686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31454F1F-48A1-461D-97FA-D5F5CC06068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7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7B596A7-DB14-4F62-82F2-9D9D8B4F5A99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97B596A7-DB14-4F62-82F2-9D9D8B4F5A9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8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7DA0BA09-E020-4DB9-974C-B7E04741906E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7DA0BA09-E020-4DB9-974C-B7E0474190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9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19368AF-0D06-46DE-805D-4A0DA1369442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19368AF-0D06-46DE-805D-4A0DA136944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10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2E21881-CE71-4E05-94C9-670EAD1D126B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2E21881-CE71-4E05-94C9-670EAD1D12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11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B5D9F04-3B81-473D-9A1A-B24D5A6005A7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B5D9F04-3B81-473D-9A1A-B24D5A6005A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12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72833AE-610A-423C-8B88-CA94399595FF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72833AE-610A-423C-8B88-CA94399595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13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A8F4C1FC-12BF-45F7-B1E0-3F81381BD10B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A8F4C1FC-12BF-45F7-B1E0-3F81381BD1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14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20F855BF-E7B7-4492-9825-0B373EA89381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20F855BF-E7B7-4492-9825-0B373EA893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15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383E230-A472-4022-B4B7-F67815E4EEB3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383E230-A472-4022-B4B7-F67815E4EE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16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0964341-46BA-4F5A-B58E-397A59DB0362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0964341-46BA-4F5A-B58E-397A59DB03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17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B4068415-BBD5-4EDF-8E13-5B14066665FE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B4068415-BBD5-4EDF-8E13-5B14066665F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18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7F9235D-0A39-47E3-A0AD-435AB414557B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7F9235D-0A39-47E3-A0AD-435AB41455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19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B59D515-CE45-4837-BE0E-F43AE3648258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0B59D515-CE45-4837-BE0E-F43AE364825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20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6A38D26-F878-4967-8298-C126AE3BC640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E6A38D26-F878-4967-8298-C126AE3BC64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21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4EDFC49-4777-48A4-8705-AEF15C2132E9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4EDFC49-4777-48A4-8705-AEF15C2132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22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C008E9A9-E430-4CDB-AFDE-60E9821DB16C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C008E9A9-E430-4CDB-AFDE-60E9821DB1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3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9BD56649-D065-4CFE-BC0D-1856A942DA9C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9BD56649-D065-4CFE-BC0D-1856A942DA9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4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3BD5003-FFA4-4FB5-8D3E-BF69112A9E6F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3BD5003-FFA4-4FB5-8D3E-BF69112A9E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5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EA7A4B86-957E-4B20-8B76-436C7ACC4146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EA7A4B86-957E-4B20-8B76-436C7ACC414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6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08A86B68-A595-4310-93E5-BB9C686311B0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08A86B68-A595-4310-93E5-BB9C686311B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7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D5EE72C4-A7F6-450A-A938-94D3FCC1AEE6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D5EE72C4-A7F6-450A-A938-94D3FCC1AEE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8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D6FC00CA-1DD7-4B78-973C-2C3AB7CE9B1B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D6FC00CA-1DD7-4B78-973C-2C3AB7CE9B1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9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51B035F-BB98-4583-BC84-057FEB9626B4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51B035F-BB98-4583-BC84-057FEB9626B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10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07442C2E-A9E5-4005-88D3-DCF5FC190751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07442C2E-A9E5-4005-88D3-DCF5FC19075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11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242923B7-77A2-4ED4-A42F-EFF5891C64ED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242923B7-77A2-4ED4-A42F-EFF5891C64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12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4D118C22-0460-466A-9A82-A632868BC1B3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4D118C22-0460-466A-9A82-A632868BC1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13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930D2140-6C5E-4653-B644-B9B2013B719F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930D2140-6C5E-4653-B644-B9B2013B719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14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234E351-15C7-4741-B83F-A34ED1C336E0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3234E351-15C7-4741-B83F-A34ED1C336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15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29F20E7-0696-41A0-8369-1A24A1A62B7A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29F20E7-0696-41A0-8369-1A24A1A62B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16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751F780F-E5CA-45E5-8320-927612DF69B0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751F780F-E5CA-45E5-8320-927612DF69B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17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D2D2BCB-62AA-4D1A-BF21-71555EAF7559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D2D2BCB-62AA-4D1A-BF21-71555EAF755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18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B9DE52D3-E4D1-4B5B-A928-564B881B6E45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B9DE52D3-E4D1-4B5B-A928-564B881B6E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19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9C7954F8-A931-40C8-AFC9-93A3BE85D213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9C7954F8-A931-40C8-AFC9-93A3BE85D21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20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27B5E470-D37C-49AE-B380-AED8779B560F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27B5E470-D37C-49AE-B380-AED8779B560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21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0CE3093B-FADC-4552-9A53-A7BA9D79E041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0CE3093B-FADC-4552-9A53-A7BA9D79E0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1262893</xdr:colOff>
      <xdr:row>22</xdr:row>
      <xdr:rowOff>111131</xdr:rowOff>
    </xdr:from>
    <xdr:ext cx="9360" cy="10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60C1476F-7454-4622-BD12-DF2B5B8E32B5}"/>
                </a:ext>
              </a:extLst>
            </xdr14:cNvPr>
            <xdr14:cNvContentPartPr/>
          </xdr14:nvContentPartPr>
          <xdr14:nvPr macro=""/>
          <xdr14:xfrm>
            <a:off x="3756240" y="660600"/>
            <a:ext cx="9360" cy="104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60C1476F-7454-4622-BD12-DF2B5B8E32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50120" y="654480"/>
              <a:ext cx="21600" cy="226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</xdr:row>
      <xdr:rowOff>60960</xdr:rowOff>
    </xdr:from>
    <xdr:to>
      <xdr:col>14</xdr:col>
      <xdr:colOff>114300</xdr:colOff>
      <xdr:row>26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63311-98AC-C9AE-F780-254A52CDB0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09:58:00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29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1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00:30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3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0:05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2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22T10:44:42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5635,'0'0'4420,"14"2"594,-6 2-7387,-4 10-3146,-4-6 1992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T0553" refreshedDate="46168.700446180555" createdVersion="8" refreshedVersion="8" minRefreshableVersion="3" recordCount="22" xr:uid="{EBCC732F-9504-4A32-AE25-50013829255A}">
  <cacheSource type="worksheet">
    <worksheetSource name="Table2"/>
  </cacheSource>
  <cacheFields count="7">
    <cacheField name="Emp Code" numFmtId="0">
      <sharedItems containsSemiMixedTypes="0" containsString="0" containsNumber="1" containsInteger="1" minValue="1" maxValue="22"/>
    </cacheField>
    <cacheField name="NAME" numFmtId="0">
      <sharedItems count="22">
        <s v="JP Kumar"/>
        <s v="Anjali Thakur"/>
        <s v="Priya Agarwal"/>
        <s v="R Vasu"/>
        <s v="Sanjay Gupta"/>
        <s v="Jharna Biswal"/>
        <s v="Prakash Dutta"/>
        <s v="Manisha Guha"/>
        <s v="Arjun Jain"/>
        <s v="Arjun Kapoor"/>
        <s v="Abrar"/>
        <s v="Shahid Khan"/>
        <s v="Anupam Mishra"/>
        <s v="Ashwini"/>
        <s v="Prateek Babbar"/>
        <s v="Sukanya Reddy"/>
        <s v="Satish Puri"/>
        <s v="Anjum Chopra"/>
        <s v="Akram Khan"/>
        <s v="Manish Grover"/>
        <s v="jayyaa"/>
        <s v="rajesh"/>
      </sharedItems>
    </cacheField>
    <cacheField name="ADDRESS" numFmtId="0">
      <sharedItems/>
    </cacheField>
    <cacheField name="CITIY" numFmtId="0">
      <sharedItems/>
    </cacheField>
    <cacheField name="REGION" numFmtId="0">
      <sharedItems count="4">
        <s v="W"/>
        <s v="S"/>
        <s v="N"/>
        <s v="E"/>
      </sharedItems>
    </cacheField>
    <cacheField name="DEPT" numFmtId="0">
      <sharedItems/>
    </cacheField>
    <cacheField name="SAL" numFmtId="0">
      <sharedItems containsSemiMixedTypes="0" containsString="0" containsNumber="1" containsInteger="1" minValue="4500" maxValue="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"/>
    <x v="0"/>
    <s v="Andheri (W)"/>
    <s v="Mumbai"/>
    <x v="0"/>
    <s v="Training"/>
    <n v="30000"/>
  </r>
  <r>
    <n v="2"/>
    <x v="1"/>
    <s v="Govindpuri"/>
    <s v="Delhi"/>
    <x v="1"/>
    <s v="Accounts"/>
    <n v="8750"/>
  </r>
  <r>
    <n v="3"/>
    <x v="2"/>
    <s v="Sector 9"/>
    <s v="Noida"/>
    <x v="2"/>
    <s v="Marketing"/>
    <n v="11250"/>
  </r>
  <r>
    <n v="4"/>
    <x v="3"/>
    <s v="Egmore"/>
    <s v="Chennai"/>
    <x v="1"/>
    <s v="R&amp;D"/>
    <n v="10000"/>
  </r>
  <r>
    <n v="5"/>
    <x v="4"/>
    <s v="G K - II"/>
    <s v="Delhi"/>
    <x v="2"/>
    <s v="Training"/>
    <n v="16250"/>
  </r>
  <r>
    <n v="6"/>
    <x v="5"/>
    <s v="Link Road"/>
    <s v="Cuttack"/>
    <x v="3"/>
    <s v="Accounts"/>
    <n v="6400"/>
  </r>
  <r>
    <n v="7"/>
    <x v="6"/>
    <s v="Elgin Road"/>
    <s v="Kolkata"/>
    <x v="3"/>
    <s v="Marketing"/>
    <n v="4500"/>
  </r>
  <r>
    <n v="8"/>
    <x v="7"/>
    <s v="Alipore"/>
    <s v="banglore"/>
    <x v="3"/>
    <s v="R&amp;D"/>
    <n v="6275"/>
  </r>
  <r>
    <n v="9"/>
    <x v="8"/>
    <s v="MG Road"/>
    <s v="Mumbai"/>
    <x v="0"/>
    <s v="Training"/>
    <n v="6250"/>
  </r>
  <r>
    <n v="10"/>
    <x v="9"/>
    <s v="Kormangala"/>
    <s v="Bangalore"/>
    <x v="1"/>
    <s v="Accounts"/>
    <n v="8750"/>
  </r>
  <r>
    <n v="11"/>
    <x v="10"/>
    <s v="Jayanagar"/>
    <s v="Bangalore"/>
    <x v="1"/>
    <s v="Marketing"/>
    <n v="11250"/>
  </r>
  <r>
    <n v="12"/>
    <x v="11"/>
    <s v="M.G Road"/>
    <s v="Mangalore"/>
    <x v="1"/>
    <s v="R&amp;D"/>
    <n v="10000"/>
  </r>
  <r>
    <n v="13"/>
    <x v="12"/>
    <s v="Govindpuri"/>
    <s v="Mysore"/>
    <x v="1"/>
    <s v="Training"/>
    <n v="16250"/>
  </r>
  <r>
    <n v="14"/>
    <x v="13"/>
    <s v="Sector 9"/>
    <s v="Mangalore"/>
    <x v="1"/>
    <s v="Accounts"/>
    <n v="6400"/>
  </r>
  <r>
    <n v="15"/>
    <x v="14"/>
    <s v="North Road"/>
    <s v="Delhi"/>
    <x v="2"/>
    <s v="Marketing"/>
    <n v="24000"/>
  </r>
  <r>
    <n v="16"/>
    <x v="15"/>
    <s v="Alipore"/>
    <s v="Mangalore"/>
    <x v="1"/>
    <s v="R&amp;D"/>
    <n v="6275"/>
  </r>
  <r>
    <n v="17"/>
    <x v="16"/>
    <s v="Andheri (W)"/>
    <s v="Mumbai"/>
    <x v="0"/>
    <s v="Operation"/>
    <n v="6250"/>
  </r>
  <r>
    <n v="18"/>
    <x v="17"/>
    <s v="Andheri (W)"/>
    <s v="Mumbai"/>
    <x v="0"/>
    <s v="R&amp;D"/>
    <n v="8750"/>
  </r>
  <r>
    <n v="19"/>
    <x v="18"/>
    <s v="S P B Road"/>
    <s v="Pune"/>
    <x v="0"/>
    <s v="Operation"/>
    <n v="11250"/>
  </r>
  <r>
    <n v="20"/>
    <x v="19"/>
    <s v="L L R Road"/>
    <s v="Noida"/>
    <x v="2"/>
    <s v="Training"/>
    <n v="20000"/>
  </r>
  <r>
    <n v="21"/>
    <x v="20"/>
    <s v="llroad"/>
    <s v="Noida"/>
    <x v="2"/>
    <s v="taraining"/>
    <n v="20000"/>
  </r>
  <r>
    <n v="22"/>
    <x v="21"/>
    <s v="sp road"/>
    <s v="Mumbai"/>
    <x v="3"/>
    <s v="hr"/>
    <n v="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CB387C-2654-48D8-9BCE-91FA17BDDC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27" firstHeaderRow="1" firstDataRow="2" firstDataCol="1"/>
  <pivotFields count="7">
    <pivotField showAll="0"/>
    <pivotField axis="axisRow" showAll="0">
      <items count="23">
        <item x="10"/>
        <item x="18"/>
        <item x="1"/>
        <item x="17"/>
        <item x="12"/>
        <item x="8"/>
        <item x="9"/>
        <item x="13"/>
        <item x="20"/>
        <item x="5"/>
        <item x="0"/>
        <item x="19"/>
        <item x="7"/>
        <item x="6"/>
        <item x="14"/>
        <item x="2"/>
        <item x="3"/>
        <item x="21"/>
        <item x="4"/>
        <item x="16"/>
        <item x="11"/>
        <item x="15"/>
        <item t="default"/>
      </items>
    </pivotField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dataField="1" showAll="0"/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" fld="6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42C921-D425-4B6B-B17E-DEC9F0AED153}" name="Table2" displayName="Table2" ref="A1:G23" totalsRowShown="0" headerRowDxfId="16" dataDxfId="15" tableBorderDxfId="14">
  <autoFilter ref="A1:G23" xr:uid="{5B42C921-D425-4B6B-B17E-DEC9F0AED153}"/>
  <tableColumns count="7">
    <tableColumn id="1" xr3:uid="{8B1E09A1-C1D3-493C-A12D-EAECC9D6CFC8}" name="Emp Code" dataDxfId="13"/>
    <tableColumn id="2" xr3:uid="{6AC1E02E-74EF-46ED-A4BB-8B9A8FCAF1BD}" name="NAME" dataDxfId="12"/>
    <tableColumn id="3" xr3:uid="{DACCF8AB-C757-47C3-A0E4-0B2B364E5284}" name="ADDRESS" dataDxfId="11"/>
    <tableColumn id="4" xr3:uid="{3D3229CF-946F-429E-8FAE-BF98F343FE85}" name="CITIY" dataDxfId="10"/>
    <tableColumn id="5" xr3:uid="{120503CC-D1DD-4F39-9E86-AACEFA358BD8}" name="REGION" dataDxfId="9"/>
    <tableColumn id="6" xr3:uid="{E51D4D36-BC8E-499B-83C2-5BCD21AF2263}" name="DEPT" dataDxfId="8"/>
    <tableColumn id="7" xr3:uid="{BD4BD815-5428-49DB-B022-35DF6DE95A90}" name="SAL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ricklin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1"/>
  <sheetViews>
    <sheetView topLeftCell="A11" workbookViewId="0">
      <selection sqref="A1:K1"/>
    </sheetView>
  </sheetViews>
  <sheetFormatPr defaultRowHeight="14.4" x14ac:dyDescent="0.3"/>
  <cols>
    <col min="2" max="2" width="21.21875" customWidth="1"/>
    <col min="5" max="5" width="29.6640625" customWidth="1"/>
    <col min="8" max="8" width="22.44140625" customWidth="1"/>
    <col min="9" max="9" width="11.5546875" customWidth="1"/>
    <col min="12" max="12" width="20.5546875" customWidth="1"/>
  </cols>
  <sheetData>
    <row r="1" spans="1:12" ht="51.6" x14ac:dyDescent="0.9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3" spans="1:12" ht="15.6" x14ac:dyDescent="0.3">
      <c r="B3" s="126" t="s">
        <v>1</v>
      </c>
      <c r="C3" s="127"/>
      <c r="H3" s="128" t="s">
        <v>2</v>
      </c>
      <c r="I3" s="129"/>
      <c r="J3" s="129"/>
      <c r="K3" s="129"/>
      <c r="L3" s="129"/>
    </row>
    <row r="5" spans="1:12" x14ac:dyDescent="0.3">
      <c r="B5" t="s">
        <v>3</v>
      </c>
    </row>
    <row r="6" spans="1:12" x14ac:dyDescent="0.3">
      <c r="B6" t="s">
        <v>4</v>
      </c>
      <c r="H6" t="s">
        <v>5</v>
      </c>
    </row>
    <row r="7" spans="1:12" x14ac:dyDescent="0.3">
      <c r="B7" t="s">
        <v>6</v>
      </c>
      <c r="H7" t="s">
        <v>7</v>
      </c>
    </row>
    <row r="8" spans="1:12" x14ac:dyDescent="0.3">
      <c r="B8" t="s">
        <v>8</v>
      </c>
      <c r="H8" t="s">
        <v>9</v>
      </c>
    </row>
    <row r="9" spans="1:12" x14ac:dyDescent="0.3">
      <c r="H9" t="s">
        <v>10</v>
      </c>
    </row>
    <row r="10" spans="1:12" x14ac:dyDescent="0.3">
      <c r="H10" t="s">
        <v>11</v>
      </c>
    </row>
    <row r="11" spans="1:12" ht="15.6" x14ac:dyDescent="0.3">
      <c r="B11" s="126" t="s">
        <v>12</v>
      </c>
      <c r="C11" s="127"/>
      <c r="E11" s="1" t="s">
        <v>13</v>
      </c>
      <c r="H11" t="s">
        <v>14</v>
      </c>
    </row>
    <row r="12" spans="1:12" ht="15.6" x14ac:dyDescent="0.3">
      <c r="B12" s="1" t="s">
        <v>15</v>
      </c>
      <c r="C12" s="1" t="s">
        <v>16</v>
      </c>
      <c r="E12" s="2" t="s">
        <v>17</v>
      </c>
      <c r="H12" t="s">
        <v>18</v>
      </c>
    </row>
    <row r="13" spans="1:12" x14ac:dyDescent="0.3">
      <c r="B13" s="3" t="s">
        <v>19</v>
      </c>
      <c r="C13" s="3">
        <v>1978</v>
      </c>
      <c r="E13" s="2" t="s">
        <v>20</v>
      </c>
      <c r="H13" t="s">
        <v>21</v>
      </c>
    </row>
    <row r="14" spans="1:12" x14ac:dyDescent="0.3">
      <c r="B14" s="3" t="s">
        <v>22</v>
      </c>
      <c r="C14" s="3">
        <v>1980</v>
      </c>
    </row>
    <row r="15" spans="1:12" ht="15.6" x14ac:dyDescent="0.3">
      <c r="B15" s="3" t="s">
        <v>23</v>
      </c>
      <c r="C15" s="3">
        <v>1983</v>
      </c>
      <c r="E15" s="1" t="s">
        <v>24</v>
      </c>
      <c r="H15" t="s">
        <v>25</v>
      </c>
    </row>
    <row r="16" spans="1:12" x14ac:dyDescent="0.3">
      <c r="B16" s="3" t="s">
        <v>26</v>
      </c>
      <c r="C16" s="3" t="s">
        <v>27</v>
      </c>
      <c r="E16" s="4" t="s">
        <v>28</v>
      </c>
      <c r="H16" t="s">
        <v>29</v>
      </c>
    </row>
    <row r="17" spans="2:8" x14ac:dyDescent="0.3">
      <c r="H17" t="s">
        <v>30</v>
      </c>
    </row>
    <row r="21" spans="2:8" ht="36.6" customHeight="1" x14ac:dyDescent="0.3">
      <c r="B21" s="5" t="s">
        <v>31</v>
      </c>
      <c r="C21" s="130" t="s">
        <v>32</v>
      </c>
      <c r="D21" s="130"/>
      <c r="E21" s="130"/>
      <c r="H21" s="6" t="s">
        <v>33</v>
      </c>
    </row>
    <row r="22" spans="2:8" ht="26.4" customHeight="1" x14ac:dyDescent="0.3">
      <c r="B22" s="5" t="s">
        <v>34</v>
      </c>
      <c r="C22" s="130"/>
      <c r="D22" s="130"/>
      <c r="E22" s="130"/>
    </row>
    <row r="23" spans="2:8" x14ac:dyDescent="0.3">
      <c r="B23" s="7"/>
      <c r="H23" t="s">
        <v>35</v>
      </c>
    </row>
    <row r="24" spans="2:8" x14ac:dyDescent="0.3">
      <c r="B24" s="8" t="s">
        <v>36</v>
      </c>
      <c r="C24" s="124" t="s">
        <v>37</v>
      </c>
      <c r="D24" s="124"/>
      <c r="E24" s="124"/>
    </row>
    <row r="25" spans="2:8" x14ac:dyDescent="0.3">
      <c r="C25" s="124"/>
      <c r="D25" s="124"/>
      <c r="E25" s="124"/>
      <c r="H25" t="s">
        <v>38</v>
      </c>
    </row>
    <row r="27" spans="2:8" x14ac:dyDescent="0.3">
      <c r="H27" t="s">
        <v>39</v>
      </c>
    </row>
    <row r="29" spans="2:8" x14ac:dyDescent="0.3">
      <c r="H29" t="s">
        <v>40</v>
      </c>
    </row>
    <row r="30" spans="2:8" x14ac:dyDescent="0.3">
      <c r="B30" s="9" t="s">
        <v>41</v>
      </c>
      <c r="C30" s="7">
        <v>16384</v>
      </c>
    </row>
    <row r="31" spans="2:8" x14ac:dyDescent="0.3">
      <c r="B31" s="9" t="s">
        <v>42</v>
      </c>
      <c r="C31" s="7">
        <v>1048576</v>
      </c>
      <c r="H31" t="s">
        <v>43</v>
      </c>
    </row>
  </sheetData>
  <mergeCells count="6">
    <mergeCell ref="C24:E25"/>
    <mergeCell ref="A1:K1"/>
    <mergeCell ref="B3:C3"/>
    <mergeCell ref="H3:L3"/>
    <mergeCell ref="B11:C11"/>
    <mergeCell ref="C21:E22"/>
  </mergeCells>
  <hyperlinks>
    <hyperlink ref="E16" r:id="rId1" xr:uid="{4209A9FA-5251-478E-9775-27DE19C527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1567-B8C4-45A6-A4BD-7383F6756D9D}">
  <sheetPr codeName="Sheet2"/>
  <dimension ref="A1:T42"/>
  <sheetViews>
    <sheetView topLeftCell="A2" workbookViewId="0">
      <selection activeCell="F22" sqref="F22"/>
    </sheetView>
  </sheetViews>
  <sheetFormatPr defaultRowHeight="10.199999999999999" x14ac:dyDescent="0.2"/>
  <cols>
    <col min="1" max="1" width="12.33203125" style="78" customWidth="1"/>
    <col min="2" max="2" width="11.6640625" style="78" customWidth="1"/>
    <col min="3" max="3" width="13.33203125" style="78" customWidth="1"/>
    <col min="4" max="5" width="15" style="78" customWidth="1"/>
    <col min="6" max="9" width="8.88671875" style="78"/>
    <col min="10" max="10" width="9.5546875" style="78" bestFit="1" customWidth="1"/>
    <col min="11" max="11" width="8.88671875" style="78"/>
    <col min="12" max="12" width="12.5546875" style="78" customWidth="1"/>
    <col min="13" max="13" width="8.88671875" style="78"/>
    <col min="14" max="14" width="9" style="78" bestFit="1" customWidth="1"/>
    <col min="15" max="15" width="8.88671875" style="78"/>
    <col min="16" max="16" width="16.88671875" style="78" customWidth="1"/>
    <col min="17" max="17" width="13.88671875" style="78" customWidth="1"/>
    <col min="18" max="18" width="14" style="78" customWidth="1"/>
    <col min="19" max="19" width="16.88671875" style="78" customWidth="1"/>
    <col min="20" max="20" width="11.5546875" style="78" customWidth="1"/>
    <col min="21" max="16384" width="8.88671875" style="78"/>
  </cols>
  <sheetData>
    <row r="1" spans="1:20" ht="52.2" x14ac:dyDescent="0.2">
      <c r="A1" s="76" t="s">
        <v>44</v>
      </c>
      <c r="B1" s="76" t="s">
        <v>45</v>
      </c>
      <c r="C1" s="76" t="s">
        <v>46</v>
      </c>
      <c r="D1" s="76" t="s">
        <v>47</v>
      </c>
      <c r="E1" s="77" t="s">
        <v>46</v>
      </c>
      <c r="J1" s="79" t="s">
        <v>72</v>
      </c>
      <c r="L1" s="131" t="s">
        <v>73</v>
      </c>
      <c r="M1" s="131"/>
      <c r="N1" s="78" t="s">
        <v>74</v>
      </c>
      <c r="P1" s="78" t="s">
        <v>112</v>
      </c>
      <c r="Q1" s="78" t="s">
        <v>112</v>
      </c>
      <c r="R1" s="78" t="s">
        <v>113</v>
      </c>
      <c r="S1" s="78" t="s">
        <v>113</v>
      </c>
      <c r="T1" s="78" t="s">
        <v>114</v>
      </c>
    </row>
    <row r="2" spans="1:20" x14ac:dyDescent="0.2">
      <c r="A2" s="80">
        <v>1</v>
      </c>
      <c r="B2" s="80" t="s">
        <v>48</v>
      </c>
      <c r="C2" s="80">
        <v>50</v>
      </c>
      <c r="D2" s="80" t="s">
        <v>66</v>
      </c>
      <c r="E2" s="81">
        <v>50</v>
      </c>
      <c r="J2" s="78">
        <v>1</v>
      </c>
      <c r="L2" s="78">
        <v>4</v>
      </c>
      <c r="N2" s="78">
        <v>3</v>
      </c>
      <c r="P2" s="78" t="s">
        <v>75</v>
      </c>
      <c r="Q2" s="82" t="s">
        <v>115</v>
      </c>
      <c r="R2" s="78" t="s">
        <v>88</v>
      </c>
      <c r="S2" s="78" t="s">
        <v>100</v>
      </c>
      <c r="T2" s="78" t="s">
        <v>66</v>
      </c>
    </row>
    <row r="3" spans="1:20" ht="30.6" x14ac:dyDescent="0.2">
      <c r="A3" s="80">
        <v>2</v>
      </c>
      <c r="B3" s="80" t="s">
        <v>49</v>
      </c>
      <c r="C3" s="80">
        <v>20</v>
      </c>
      <c r="D3" s="80" t="s">
        <v>68</v>
      </c>
      <c r="E3" s="81">
        <v>20</v>
      </c>
      <c r="F3" s="83" t="s">
        <v>116</v>
      </c>
      <c r="G3" s="83"/>
      <c r="H3" s="83"/>
      <c r="J3" s="84">
        <v>2</v>
      </c>
      <c r="L3" s="85">
        <v>6</v>
      </c>
      <c r="N3" s="78">
        <v>5</v>
      </c>
      <c r="P3" s="78" t="s">
        <v>76</v>
      </c>
      <c r="Q3" s="78" t="s">
        <v>84</v>
      </c>
      <c r="R3" s="78" t="s">
        <v>89</v>
      </c>
      <c r="S3" s="78" t="s">
        <v>101</v>
      </c>
      <c r="T3" s="78" t="s">
        <v>68</v>
      </c>
    </row>
    <row r="4" spans="1:20" x14ac:dyDescent="0.2">
      <c r="A4" s="80">
        <v>3</v>
      </c>
      <c r="B4" s="80" t="s">
        <v>50</v>
      </c>
      <c r="C4" s="80">
        <v>12</v>
      </c>
      <c r="D4" s="80" t="s">
        <v>66</v>
      </c>
      <c r="E4" s="81">
        <v>12</v>
      </c>
      <c r="J4" s="84">
        <v>3</v>
      </c>
      <c r="L4" s="85">
        <v>8</v>
      </c>
      <c r="N4" s="78">
        <v>7</v>
      </c>
      <c r="P4" s="78" t="s">
        <v>77</v>
      </c>
      <c r="Q4" s="78" t="s">
        <v>85</v>
      </c>
      <c r="R4" s="78" t="s">
        <v>90</v>
      </c>
      <c r="S4" s="78" t="s">
        <v>102</v>
      </c>
      <c r="T4" s="78" t="s">
        <v>69</v>
      </c>
    </row>
    <row r="5" spans="1:20" x14ac:dyDescent="0.2">
      <c r="A5" s="80">
        <v>4</v>
      </c>
      <c r="B5" s="80" t="s">
        <v>51</v>
      </c>
      <c r="C5" s="80">
        <v>80</v>
      </c>
      <c r="D5" s="80" t="s">
        <v>68</v>
      </c>
      <c r="E5" s="81">
        <v>80</v>
      </c>
      <c r="J5" s="84">
        <v>4</v>
      </c>
      <c r="L5" s="85">
        <v>10</v>
      </c>
      <c r="N5" s="78">
        <v>9</v>
      </c>
      <c r="P5" s="78" t="s">
        <v>78</v>
      </c>
      <c r="Q5" s="78" t="s">
        <v>86</v>
      </c>
      <c r="R5" s="78" t="s">
        <v>91</v>
      </c>
      <c r="S5" s="78" t="s">
        <v>103</v>
      </c>
      <c r="T5" s="78" t="s">
        <v>70</v>
      </c>
    </row>
    <row r="6" spans="1:20" x14ac:dyDescent="0.2">
      <c r="A6" s="80">
        <v>5</v>
      </c>
      <c r="B6" s="80" t="s">
        <v>52</v>
      </c>
      <c r="C6" s="80">
        <v>90</v>
      </c>
      <c r="D6" s="80" t="s">
        <v>66</v>
      </c>
      <c r="E6" s="81">
        <v>90</v>
      </c>
      <c r="J6" s="84">
        <v>5</v>
      </c>
      <c r="L6" s="85">
        <v>12</v>
      </c>
      <c r="N6" s="78">
        <v>11</v>
      </c>
      <c r="P6" s="78" t="s">
        <v>79</v>
      </c>
      <c r="Q6" s="78" t="s">
        <v>82</v>
      </c>
      <c r="R6" s="78" t="s">
        <v>92</v>
      </c>
      <c r="S6" s="78" t="s">
        <v>104</v>
      </c>
      <c r="T6" s="78" t="s">
        <v>67</v>
      </c>
    </row>
    <row r="7" spans="1:20" x14ac:dyDescent="0.2">
      <c r="A7" s="80">
        <v>6</v>
      </c>
      <c r="B7" s="80" t="s">
        <v>53</v>
      </c>
      <c r="C7" s="80">
        <v>30</v>
      </c>
      <c r="D7" s="80" t="s">
        <v>66</v>
      </c>
      <c r="E7" s="81">
        <v>30</v>
      </c>
      <c r="J7" s="84">
        <v>6</v>
      </c>
      <c r="L7" s="85">
        <v>14</v>
      </c>
      <c r="N7" s="78">
        <v>13</v>
      </c>
      <c r="P7" s="78" t="s">
        <v>80</v>
      </c>
      <c r="Q7" s="78" t="s">
        <v>87</v>
      </c>
      <c r="R7" s="78" t="s">
        <v>93</v>
      </c>
      <c r="S7" s="78" t="s">
        <v>105</v>
      </c>
      <c r="T7" s="78" t="s">
        <v>66</v>
      </c>
    </row>
    <row r="8" spans="1:20" x14ac:dyDescent="0.2">
      <c r="A8" s="80">
        <v>7</v>
      </c>
      <c r="B8" s="80" t="s">
        <v>54</v>
      </c>
      <c r="C8" s="80">
        <v>50</v>
      </c>
      <c r="D8" s="80" t="s">
        <v>66</v>
      </c>
      <c r="E8" s="81">
        <v>50</v>
      </c>
      <c r="J8" s="84">
        <v>7</v>
      </c>
      <c r="L8" s="85">
        <v>16</v>
      </c>
      <c r="N8" s="78">
        <v>15</v>
      </c>
      <c r="P8" s="78" t="s">
        <v>81</v>
      </c>
      <c r="Q8" s="78" t="s">
        <v>83</v>
      </c>
      <c r="R8" s="78" t="s">
        <v>94</v>
      </c>
      <c r="S8" s="78" t="s">
        <v>106</v>
      </c>
      <c r="T8" s="78" t="s">
        <v>68</v>
      </c>
    </row>
    <row r="9" spans="1:20" x14ac:dyDescent="0.2">
      <c r="A9" s="80">
        <v>8</v>
      </c>
      <c r="B9" s="80" t="s">
        <v>55</v>
      </c>
      <c r="C9" s="80">
        <v>35</v>
      </c>
      <c r="D9" s="80" t="s">
        <v>66</v>
      </c>
      <c r="E9" s="81">
        <v>35</v>
      </c>
      <c r="J9" s="84">
        <v>8</v>
      </c>
      <c r="L9" s="85">
        <v>18</v>
      </c>
      <c r="N9" s="78">
        <v>17</v>
      </c>
      <c r="P9" s="78" t="s">
        <v>75</v>
      </c>
      <c r="Q9" s="82" t="s">
        <v>115</v>
      </c>
      <c r="R9" s="78" t="s">
        <v>95</v>
      </c>
      <c r="S9" s="78" t="s">
        <v>107</v>
      </c>
      <c r="T9" s="78" t="s">
        <v>69</v>
      </c>
    </row>
    <row r="10" spans="1:20" x14ac:dyDescent="0.2">
      <c r="A10" s="80">
        <v>9</v>
      </c>
      <c r="B10" s="80" t="s">
        <v>56</v>
      </c>
      <c r="C10" s="80">
        <v>40</v>
      </c>
      <c r="D10" s="80" t="s">
        <v>68</v>
      </c>
      <c r="E10" s="81">
        <v>40</v>
      </c>
      <c r="J10" s="84">
        <v>9</v>
      </c>
      <c r="L10" s="85">
        <v>20</v>
      </c>
      <c r="N10" s="78">
        <v>19</v>
      </c>
      <c r="P10" s="78" t="s">
        <v>76</v>
      </c>
      <c r="Q10" s="78" t="s">
        <v>84</v>
      </c>
      <c r="R10" s="78" t="s">
        <v>96</v>
      </c>
      <c r="S10" s="78" t="s">
        <v>108</v>
      </c>
      <c r="T10" s="78" t="s">
        <v>70</v>
      </c>
    </row>
    <row r="11" spans="1:20" x14ac:dyDescent="0.2">
      <c r="A11" s="80">
        <v>10</v>
      </c>
      <c r="B11" s="80" t="s">
        <v>57</v>
      </c>
      <c r="C11" s="80">
        <v>80</v>
      </c>
      <c r="D11" s="80" t="s">
        <v>69</v>
      </c>
      <c r="E11" s="81">
        <v>80</v>
      </c>
      <c r="J11" s="84">
        <v>10</v>
      </c>
      <c r="L11" s="85">
        <v>22</v>
      </c>
      <c r="N11" s="78">
        <v>21</v>
      </c>
      <c r="P11" s="78" t="s">
        <v>77</v>
      </c>
      <c r="Q11" s="78" t="s">
        <v>85</v>
      </c>
      <c r="R11" s="78" t="s">
        <v>97</v>
      </c>
      <c r="S11" s="78" t="s">
        <v>109</v>
      </c>
      <c r="T11" s="78" t="s">
        <v>67</v>
      </c>
    </row>
    <row r="12" spans="1:20" x14ac:dyDescent="0.2">
      <c r="A12" s="80">
        <v>11</v>
      </c>
      <c r="B12" s="80" t="s">
        <v>52</v>
      </c>
      <c r="C12" s="80">
        <v>60</v>
      </c>
      <c r="D12" s="80" t="s">
        <v>68</v>
      </c>
      <c r="E12" s="81">
        <v>60</v>
      </c>
      <c r="J12" s="84">
        <v>11</v>
      </c>
      <c r="L12" s="85">
        <v>24</v>
      </c>
      <c r="N12" s="78">
        <v>23</v>
      </c>
      <c r="P12" s="78" t="s">
        <v>78</v>
      </c>
      <c r="Q12" s="78" t="s">
        <v>86</v>
      </c>
      <c r="R12" s="78" t="s">
        <v>98</v>
      </c>
      <c r="S12" s="78" t="s">
        <v>110</v>
      </c>
      <c r="T12" s="78" t="s">
        <v>66</v>
      </c>
    </row>
    <row r="13" spans="1:20" x14ac:dyDescent="0.2">
      <c r="A13" s="80">
        <v>12</v>
      </c>
      <c r="B13" s="80" t="s">
        <v>58</v>
      </c>
      <c r="C13" s="80">
        <v>70</v>
      </c>
      <c r="D13" s="80" t="s">
        <v>68</v>
      </c>
      <c r="E13" s="81">
        <v>70</v>
      </c>
      <c r="J13" s="84">
        <v>12</v>
      </c>
      <c r="L13" s="85">
        <v>26</v>
      </c>
      <c r="N13" s="78">
        <v>25</v>
      </c>
      <c r="P13" s="78" t="s">
        <v>79</v>
      </c>
      <c r="Q13" s="78" t="s">
        <v>82</v>
      </c>
      <c r="R13" s="78" t="s">
        <v>99</v>
      </c>
      <c r="S13" s="78" t="s">
        <v>111</v>
      </c>
      <c r="T13" s="78" t="s">
        <v>68</v>
      </c>
    </row>
    <row r="14" spans="1:20" x14ac:dyDescent="0.2">
      <c r="A14" s="80">
        <v>13</v>
      </c>
      <c r="B14" s="80" t="s">
        <v>59</v>
      </c>
      <c r="C14" s="80">
        <v>30</v>
      </c>
      <c r="D14" s="80" t="s">
        <v>68</v>
      </c>
      <c r="E14" s="81">
        <v>30</v>
      </c>
      <c r="J14" s="84">
        <v>13</v>
      </c>
      <c r="L14" s="85">
        <v>28</v>
      </c>
      <c r="N14" s="78">
        <v>27</v>
      </c>
      <c r="P14" s="78" t="s">
        <v>80</v>
      </c>
      <c r="Q14" s="78" t="s">
        <v>87</v>
      </c>
      <c r="R14" s="78" t="s">
        <v>88</v>
      </c>
      <c r="S14" s="78" t="s">
        <v>100</v>
      </c>
      <c r="T14" s="78" t="s">
        <v>69</v>
      </c>
    </row>
    <row r="15" spans="1:20" x14ac:dyDescent="0.2">
      <c r="A15" s="80">
        <v>14</v>
      </c>
      <c r="B15" s="80" t="s">
        <v>60</v>
      </c>
      <c r="C15" s="80">
        <v>60</v>
      </c>
      <c r="D15" s="80" t="s">
        <v>69</v>
      </c>
      <c r="E15" s="81">
        <v>60</v>
      </c>
      <c r="J15" s="84">
        <v>14</v>
      </c>
      <c r="L15" s="85">
        <v>30</v>
      </c>
      <c r="N15" s="78">
        <v>29</v>
      </c>
      <c r="P15" s="78" t="s">
        <v>81</v>
      </c>
      <c r="Q15" s="78" t="s">
        <v>83</v>
      </c>
      <c r="R15" s="78" t="s">
        <v>89</v>
      </c>
      <c r="S15" s="78" t="s">
        <v>101</v>
      </c>
      <c r="T15" s="78" t="s">
        <v>70</v>
      </c>
    </row>
    <row r="16" spans="1:20" x14ac:dyDescent="0.2">
      <c r="A16" s="80">
        <v>15</v>
      </c>
      <c r="B16" s="80" t="s">
        <v>61</v>
      </c>
      <c r="C16" s="80">
        <v>45</v>
      </c>
      <c r="D16" s="80" t="s">
        <v>70</v>
      </c>
      <c r="E16" s="81">
        <v>45</v>
      </c>
      <c r="J16" s="84">
        <v>15</v>
      </c>
      <c r="L16" s="85">
        <v>32</v>
      </c>
      <c r="N16" s="78">
        <v>31</v>
      </c>
      <c r="P16" s="78" t="s">
        <v>75</v>
      </c>
      <c r="Q16" s="82" t="s">
        <v>115</v>
      </c>
      <c r="R16" s="78" t="s">
        <v>90</v>
      </c>
      <c r="S16" s="78" t="s">
        <v>102</v>
      </c>
      <c r="T16" s="78" t="s">
        <v>67</v>
      </c>
    </row>
    <row r="17" spans="1:20" x14ac:dyDescent="0.2">
      <c r="A17" s="80">
        <v>16</v>
      </c>
      <c r="B17" s="80" t="s">
        <v>62</v>
      </c>
      <c r="C17" s="80">
        <v>20</v>
      </c>
      <c r="D17" s="80" t="s">
        <v>67</v>
      </c>
      <c r="E17" s="81">
        <v>20</v>
      </c>
      <c r="J17" s="84">
        <v>16</v>
      </c>
      <c r="L17" s="85">
        <v>34</v>
      </c>
      <c r="N17" s="78">
        <v>33</v>
      </c>
      <c r="P17" s="78" t="s">
        <v>76</v>
      </c>
      <c r="Q17" s="78" t="s">
        <v>84</v>
      </c>
      <c r="R17" s="78" t="s">
        <v>91</v>
      </c>
      <c r="S17" s="78" t="s">
        <v>103</v>
      </c>
      <c r="T17" s="78" t="s">
        <v>66</v>
      </c>
    </row>
    <row r="18" spans="1:20" x14ac:dyDescent="0.2">
      <c r="A18" s="80">
        <v>17</v>
      </c>
      <c r="B18" s="80" t="s">
        <v>63</v>
      </c>
      <c r="C18" s="80">
        <v>35</v>
      </c>
      <c r="D18" s="80" t="s">
        <v>67</v>
      </c>
      <c r="E18" s="81">
        <v>35</v>
      </c>
      <c r="J18" s="84">
        <v>17</v>
      </c>
      <c r="L18" s="85">
        <v>36</v>
      </c>
      <c r="N18" s="78">
        <v>35</v>
      </c>
      <c r="P18" s="78" t="s">
        <v>77</v>
      </c>
      <c r="Q18" s="78" t="s">
        <v>85</v>
      </c>
      <c r="R18" s="78" t="s">
        <v>92</v>
      </c>
      <c r="S18" s="78" t="s">
        <v>104</v>
      </c>
      <c r="T18" s="78" t="s">
        <v>68</v>
      </c>
    </row>
    <row r="19" spans="1:20" x14ac:dyDescent="0.2">
      <c r="A19" s="80">
        <v>18</v>
      </c>
      <c r="B19" s="80" t="s">
        <v>64</v>
      </c>
      <c r="C19" s="80">
        <v>22</v>
      </c>
      <c r="D19" s="80" t="s">
        <v>66</v>
      </c>
      <c r="E19" s="81">
        <v>22</v>
      </c>
      <c r="J19" s="84">
        <v>18</v>
      </c>
      <c r="L19" s="85">
        <v>38</v>
      </c>
      <c r="N19" s="78">
        <v>37</v>
      </c>
      <c r="P19" s="78" t="s">
        <v>78</v>
      </c>
      <c r="Q19" s="78" t="s">
        <v>86</v>
      </c>
      <c r="R19" s="78" t="s">
        <v>93</v>
      </c>
      <c r="S19" s="78" t="s">
        <v>105</v>
      </c>
      <c r="T19" s="78" t="s">
        <v>69</v>
      </c>
    </row>
    <row r="20" spans="1:20" x14ac:dyDescent="0.2">
      <c r="A20" s="80">
        <v>19</v>
      </c>
      <c r="B20" s="80" t="s">
        <v>65</v>
      </c>
      <c r="C20" s="80">
        <v>45</v>
      </c>
      <c r="D20" s="80" t="s">
        <v>68</v>
      </c>
      <c r="E20" s="81">
        <v>45</v>
      </c>
      <c r="J20" s="84">
        <v>19</v>
      </c>
      <c r="L20" s="85">
        <v>40</v>
      </c>
      <c r="N20" s="78">
        <v>39</v>
      </c>
      <c r="P20" s="78" t="s">
        <v>79</v>
      </c>
      <c r="Q20" s="78" t="s">
        <v>82</v>
      </c>
      <c r="R20" s="78" t="s">
        <v>94</v>
      </c>
      <c r="S20" s="78" t="s">
        <v>106</v>
      </c>
      <c r="T20" s="78" t="s">
        <v>70</v>
      </c>
    </row>
    <row r="23" spans="1:20" x14ac:dyDescent="0.2">
      <c r="A23" s="79" t="s">
        <v>71</v>
      </c>
      <c r="C23" s="79" t="s">
        <v>71</v>
      </c>
    </row>
    <row r="24" spans="1:20" x14ac:dyDescent="0.2">
      <c r="A24" s="78">
        <v>1</v>
      </c>
      <c r="C24" s="78">
        <v>1</v>
      </c>
    </row>
    <row r="25" spans="1:20" x14ac:dyDescent="0.2">
      <c r="A25" s="78">
        <v>1</v>
      </c>
      <c r="C25" s="78">
        <v>1</v>
      </c>
    </row>
    <row r="26" spans="1:20" x14ac:dyDescent="0.2">
      <c r="A26" s="78">
        <v>1</v>
      </c>
      <c r="C26" s="78">
        <v>1</v>
      </c>
    </row>
    <row r="27" spans="1:20" x14ac:dyDescent="0.2">
      <c r="A27" s="78">
        <v>1</v>
      </c>
      <c r="C27" s="78">
        <v>1</v>
      </c>
    </row>
    <row r="28" spans="1:20" x14ac:dyDescent="0.2">
      <c r="A28" s="78">
        <v>1</v>
      </c>
      <c r="C28" s="78">
        <v>1</v>
      </c>
    </row>
    <row r="29" spans="1:20" x14ac:dyDescent="0.2">
      <c r="A29" s="78">
        <v>1</v>
      </c>
      <c r="C29" s="78">
        <v>1</v>
      </c>
    </row>
    <row r="30" spans="1:20" x14ac:dyDescent="0.2">
      <c r="A30" s="78">
        <v>1</v>
      </c>
      <c r="C30" s="78">
        <v>1</v>
      </c>
    </row>
    <row r="31" spans="1:20" x14ac:dyDescent="0.2">
      <c r="A31" s="78">
        <v>1</v>
      </c>
      <c r="C31" s="78">
        <v>1</v>
      </c>
    </row>
    <row r="32" spans="1:20" x14ac:dyDescent="0.2">
      <c r="A32" s="78">
        <v>1</v>
      </c>
      <c r="C32" s="78">
        <v>1</v>
      </c>
    </row>
    <row r="33" spans="1:3" x14ac:dyDescent="0.2">
      <c r="A33" s="78">
        <v>1</v>
      </c>
      <c r="C33" s="78">
        <v>1</v>
      </c>
    </row>
    <row r="34" spans="1:3" x14ac:dyDescent="0.2">
      <c r="A34" s="78">
        <v>1</v>
      </c>
      <c r="C34" s="78">
        <v>1</v>
      </c>
    </row>
    <row r="35" spans="1:3" x14ac:dyDescent="0.2">
      <c r="A35" s="78">
        <v>1</v>
      </c>
      <c r="C35" s="78">
        <v>1</v>
      </c>
    </row>
    <row r="36" spans="1:3" x14ac:dyDescent="0.2">
      <c r="A36" s="78">
        <v>1</v>
      </c>
      <c r="C36" s="78">
        <v>1</v>
      </c>
    </row>
    <row r="37" spans="1:3" x14ac:dyDescent="0.2">
      <c r="A37" s="78">
        <v>1</v>
      </c>
      <c r="C37" s="78">
        <v>1</v>
      </c>
    </row>
    <row r="38" spans="1:3" x14ac:dyDescent="0.2">
      <c r="A38" s="78">
        <v>1</v>
      </c>
      <c r="C38" s="78">
        <v>1</v>
      </c>
    </row>
    <row r="39" spans="1:3" x14ac:dyDescent="0.2">
      <c r="A39" s="78">
        <v>1</v>
      </c>
      <c r="C39" s="78">
        <v>1</v>
      </c>
    </row>
    <row r="40" spans="1:3" x14ac:dyDescent="0.2">
      <c r="A40" s="78">
        <v>1</v>
      </c>
      <c r="C40" s="78">
        <v>1</v>
      </c>
    </row>
    <row r="41" spans="1:3" x14ac:dyDescent="0.2">
      <c r="A41" s="78">
        <v>1</v>
      </c>
      <c r="C41" s="78">
        <v>1</v>
      </c>
    </row>
    <row r="42" spans="1:3" x14ac:dyDescent="0.2">
      <c r="A42" s="78">
        <v>1</v>
      </c>
      <c r="C42" s="78">
        <v>1</v>
      </c>
    </row>
  </sheetData>
  <mergeCells count="1">
    <mergeCell ref="L1:M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FF67-6DE5-4C21-828E-4DA77340C6C8}">
  <sheetPr codeName="Sheet3"/>
  <dimension ref="B1:P11"/>
  <sheetViews>
    <sheetView workbookViewId="0">
      <selection activeCell="D6" sqref="D6:F7"/>
    </sheetView>
  </sheetViews>
  <sheetFormatPr defaultRowHeight="14.4" x14ac:dyDescent="0.3"/>
  <cols>
    <col min="3" max="3" width="25.109375" customWidth="1"/>
    <col min="4" max="4" width="25.33203125" customWidth="1"/>
    <col min="5" max="5" width="22.88671875" customWidth="1"/>
    <col min="6" max="6" width="24" customWidth="1"/>
    <col min="11" max="11" width="23.6640625" customWidth="1"/>
    <col min="12" max="12" width="12.6640625" customWidth="1"/>
    <col min="13" max="13" width="13" customWidth="1"/>
    <col min="15" max="15" width="20.109375" customWidth="1"/>
  </cols>
  <sheetData>
    <row r="1" spans="2:16" ht="31.2" x14ac:dyDescent="0.6">
      <c r="C1" s="132" t="s">
        <v>117</v>
      </c>
      <c r="D1" s="132"/>
      <c r="E1" s="132"/>
      <c r="F1" s="132"/>
      <c r="K1" s="12" t="s">
        <v>118</v>
      </c>
      <c r="L1" s="12"/>
      <c r="M1" s="13"/>
      <c r="N1" s="14"/>
    </row>
    <row r="3" spans="2:16" x14ac:dyDescent="0.3">
      <c r="B3" s="7"/>
      <c r="C3" s="7"/>
      <c r="D3" s="7"/>
      <c r="E3" s="7"/>
      <c r="F3" s="7"/>
    </row>
    <row r="4" spans="2:16" x14ac:dyDescent="0.3">
      <c r="B4" s="7" t="s">
        <v>311</v>
      </c>
      <c r="C4" s="7"/>
      <c r="D4" s="7" t="s">
        <v>119</v>
      </c>
      <c r="E4" s="7" t="s">
        <v>120</v>
      </c>
      <c r="F4" s="7" t="s">
        <v>121</v>
      </c>
    </row>
    <row r="5" spans="2:16" x14ac:dyDescent="0.3">
      <c r="B5" s="7">
        <v>1</v>
      </c>
      <c r="C5" s="7"/>
      <c r="D5" s="7"/>
      <c r="E5" s="7"/>
      <c r="F5" s="7"/>
    </row>
    <row r="6" spans="2:16" x14ac:dyDescent="0.3">
      <c r="B6" s="7">
        <v>2</v>
      </c>
      <c r="C6" s="7"/>
      <c r="D6" s="7"/>
      <c r="E6" s="7"/>
      <c r="F6" s="7"/>
    </row>
    <row r="7" spans="2:16" x14ac:dyDescent="0.3">
      <c r="B7" s="7">
        <v>5</v>
      </c>
      <c r="C7" s="7"/>
      <c r="D7" s="7"/>
      <c r="E7" s="7"/>
      <c r="F7" s="7"/>
    </row>
    <row r="8" spans="2:16" x14ac:dyDescent="0.3">
      <c r="B8" s="7">
        <v>100</v>
      </c>
      <c r="C8" s="7"/>
      <c r="D8" s="7"/>
      <c r="E8" s="7"/>
      <c r="F8" s="7"/>
      <c r="L8" s="7"/>
    </row>
    <row r="9" spans="2:16" x14ac:dyDescent="0.3">
      <c r="B9" s="7">
        <v>6</v>
      </c>
      <c r="C9" s="7"/>
      <c r="D9" s="7"/>
      <c r="E9" s="7"/>
      <c r="F9" s="7"/>
      <c r="L9" s="7">
        <v>1</v>
      </c>
      <c r="M9" s="7">
        <v>2</v>
      </c>
      <c r="N9" s="7">
        <v>3</v>
      </c>
      <c r="O9" s="7">
        <v>4</v>
      </c>
      <c r="P9" s="7">
        <v>5</v>
      </c>
    </row>
    <row r="10" spans="2:16" x14ac:dyDescent="0.3">
      <c r="B10" s="7">
        <v>5</v>
      </c>
      <c r="C10" s="7"/>
      <c r="D10" s="7" t="s">
        <v>122</v>
      </c>
      <c r="E10" s="7" t="s">
        <v>122</v>
      </c>
      <c r="F10" s="7" t="s">
        <v>123</v>
      </c>
      <c r="K10" t="s">
        <v>124</v>
      </c>
      <c r="L10" s="7" t="s">
        <v>125</v>
      </c>
      <c r="M10" s="7" t="s">
        <v>126</v>
      </c>
      <c r="N10" s="7" t="s">
        <v>127</v>
      </c>
      <c r="O10" s="7" t="s">
        <v>128</v>
      </c>
      <c r="P10" s="7" t="s">
        <v>129</v>
      </c>
    </row>
    <row r="11" spans="2:16" x14ac:dyDescent="0.3">
      <c r="B11" s="7"/>
      <c r="C11" s="7"/>
      <c r="D11" s="7" t="s">
        <v>130</v>
      </c>
      <c r="E11" s="7" t="s">
        <v>131</v>
      </c>
      <c r="F11" s="7" t="s">
        <v>132</v>
      </c>
    </row>
  </sheetData>
  <mergeCells count="1">
    <mergeCell ref="C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2083-A055-49BF-AF51-C372F69D8749}">
  <sheetPr codeName="Sheet4"/>
  <dimension ref="A1:N45"/>
  <sheetViews>
    <sheetView topLeftCell="B1" workbookViewId="0">
      <selection activeCell="D19" sqref="D19"/>
    </sheetView>
  </sheetViews>
  <sheetFormatPr defaultRowHeight="14.4" x14ac:dyDescent="0.3"/>
  <cols>
    <col min="2" max="2" width="17.88671875" customWidth="1"/>
    <col min="3" max="3" width="18.33203125" customWidth="1"/>
    <col min="4" max="4" width="21.5546875" customWidth="1"/>
    <col min="6" max="6" width="12.6640625" customWidth="1"/>
    <col min="9" max="9" width="14" customWidth="1"/>
    <col min="10" max="10" width="18.88671875" customWidth="1"/>
    <col min="11" max="11" width="46.6640625" customWidth="1"/>
    <col min="12" max="12" width="99.44140625" customWidth="1"/>
    <col min="13" max="13" width="0.5546875" customWidth="1"/>
    <col min="14" max="14" width="8.88671875" hidden="1" customWidth="1"/>
  </cols>
  <sheetData>
    <row r="1" spans="1:12" ht="23.4" x14ac:dyDescent="0.3">
      <c r="A1" s="15" t="s">
        <v>133</v>
      </c>
    </row>
    <row r="3" spans="1:12" x14ac:dyDescent="0.3">
      <c r="A3" s="88" t="s">
        <v>134</v>
      </c>
      <c r="B3" s="88" t="s">
        <v>135</v>
      </c>
      <c r="C3" s="88" t="s">
        <v>136</v>
      </c>
      <c r="D3" s="88" t="s">
        <v>137</v>
      </c>
      <c r="E3" s="88" t="s">
        <v>138</v>
      </c>
      <c r="F3" s="88" t="s">
        <v>139</v>
      </c>
      <c r="G3" s="88" t="s">
        <v>140</v>
      </c>
      <c r="L3" t="s">
        <v>609</v>
      </c>
    </row>
    <row r="4" spans="1:12" x14ac:dyDescent="0.3">
      <c r="A4">
        <v>1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>
        <v>30000</v>
      </c>
      <c r="I4" s="17" t="s">
        <v>146</v>
      </c>
      <c r="K4" t="e">
        <f ca="1">_xlfn.FORMULATEXT(J4)</f>
        <v>#N/A</v>
      </c>
      <c r="L4" t="s">
        <v>607</v>
      </c>
    </row>
    <row r="5" spans="1:12" x14ac:dyDescent="0.3">
      <c r="A5">
        <v>2</v>
      </c>
      <c r="B5" t="s">
        <v>147</v>
      </c>
      <c r="C5" t="s">
        <v>148</v>
      </c>
      <c r="D5" t="s">
        <v>149</v>
      </c>
      <c r="E5" t="s">
        <v>150</v>
      </c>
      <c r="F5" t="s">
        <v>151</v>
      </c>
      <c r="G5">
        <v>10000</v>
      </c>
      <c r="I5" s="17" t="s">
        <v>152</v>
      </c>
      <c r="K5" t="e">
        <f t="shared" ref="K5:K14" ca="1" si="0">_xlfn.FORMULATEXT(J5)</f>
        <v>#N/A</v>
      </c>
      <c r="L5" t="s">
        <v>608</v>
      </c>
    </row>
    <row r="6" spans="1:12" x14ac:dyDescent="0.3">
      <c r="A6">
        <v>3</v>
      </c>
      <c r="B6" t="s">
        <v>153</v>
      </c>
      <c r="C6" t="s">
        <v>154</v>
      </c>
      <c r="D6" t="s">
        <v>155</v>
      </c>
      <c r="E6" t="s">
        <v>150</v>
      </c>
      <c r="F6" t="s">
        <v>156</v>
      </c>
      <c r="G6">
        <v>11250</v>
      </c>
      <c r="I6" s="17" t="s">
        <v>157</v>
      </c>
      <c r="K6" t="e">
        <f t="shared" ca="1" si="0"/>
        <v>#N/A</v>
      </c>
      <c r="L6" t="s">
        <v>610</v>
      </c>
    </row>
    <row r="7" spans="1:12" x14ac:dyDescent="0.3">
      <c r="A7">
        <v>4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>
        <v>10000</v>
      </c>
      <c r="I7" s="17" t="s">
        <v>163</v>
      </c>
      <c r="K7" t="e">
        <f t="shared" ca="1" si="0"/>
        <v>#N/A</v>
      </c>
      <c r="L7" t="s">
        <v>611</v>
      </c>
    </row>
    <row r="8" spans="1:12" x14ac:dyDescent="0.3">
      <c r="A8">
        <v>5</v>
      </c>
      <c r="B8" t="s">
        <v>164</v>
      </c>
      <c r="C8" t="s">
        <v>165</v>
      </c>
      <c r="D8" t="s">
        <v>149</v>
      </c>
      <c r="E8" t="s">
        <v>150</v>
      </c>
      <c r="F8" t="s">
        <v>145</v>
      </c>
      <c r="G8">
        <v>16250</v>
      </c>
      <c r="I8" s="17" t="s">
        <v>166</v>
      </c>
      <c r="K8" t="e">
        <f t="shared" ca="1" si="0"/>
        <v>#N/A</v>
      </c>
      <c r="L8" t="s">
        <v>612</v>
      </c>
    </row>
    <row r="9" spans="1:12" x14ac:dyDescent="0.3">
      <c r="A9">
        <v>6</v>
      </c>
      <c r="B9" t="s">
        <v>167</v>
      </c>
      <c r="C9" t="s">
        <v>168</v>
      </c>
      <c r="D9" t="s">
        <v>169</v>
      </c>
      <c r="E9" t="s">
        <v>67</v>
      </c>
      <c r="F9" t="s">
        <v>151</v>
      </c>
      <c r="G9">
        <v>6400</v>
      </c>
      <c r="I9" s="17" t="s">
        <v>170</v>
      </c>
      <c r="K9" t="e">
        <f t="shared" ca="1" si="0"/>
        <v>#N/A</v>
      </c>
      <c r="L9" t="s">
        <v>613</v>
      </c>
    </row>
    <row r="10" spans="1:12" x14ac:dyDescent="0.3">
      <c r="A10">
        <v>7</v>
      </c>
      <c r="B10" t="s">
        <v>171</v>
      </c>
      <c r="C10" t="s">
        <v>172</v>
      </c>
      <c r="D10" t="s">
        <v>173</v>
      </c>
      <c r="E10" t="s">
        <v>67</v>
      </c>
      <c r="F10" t="s">
        <v>156</v>
      </c>
      <c r="G10">
        <v>4500</v>
      </c>
      <c r="I10" s="17" t="s">
        <v>174</v>
      </c>
      <c r="K10" t="e">
        <f t="shared" ca="1" si="0"/>
        <v>#N/A</v>
      </c>
      <c r="L10" t="s">
        <v>614</v>
      </c>
    </row>
    <row r="11" spans="1:12" x14ac:dyDescent="0.3">
      <c r="A11">
        <v>8</v>
      </c>
      <c r="B11" t="s">
        <v>175</v>
      </c>
      <c r="C11" t="s">
        <v>176</v>
      </c>
      <c r="D11" t="s">
        <v>173</v>
      </c>
      <c r="E11" t="s">
        <v>67</v>
      </c>
      <c r="F11" t="s">
        <v>162</v>
      </c>
      <c r="G11">
        <v>6275</v>
      </c>
      <c r="I11" s="18" t="s">
        <v>177</v>
      </c>
      <c r="K11" t="e">
        <f t="shared" ca="1" si="0"/>
        <v>#N/A</v>
      </c>
      <c r="L11" t="s">
        <v>615</v>
      </c>
    </row>
    <row r="12" spans="1:12" x14ac:dyDescent="0.3">
      <c r="A12">
        <v>9</v>
      </c>
      <c r="B12" t="s">
        <v>178</v>
      </c>
      <c r="C12" t="s">
        <v>179</v>
      </c>
      <c r="D12" t="s">
        <v>143</v>
      </c>
      <c r="E12" t="s">
        <v>144</v>
      </c>
      <c r="F12" t="s">
        <v>145</v>
      </c>
      <c r="G12">
        <v>6250</v>
      </c>
      <c r="I12" s="18" t="s">
        <v>177</v>
      </c>
      <c r="K12" t="e">
        <f t="shared" ca="1" si="0"/>
        <v>#N/A</v>
      </c>
      <c r="L12" t="s">
        <v>616</v>
      </c>
    </row>
    <row r="13" spans="1:12" x14ac:dyDescent="0.3">
      <c r="A13">
        <v>10</v>
      </c>
      <c r="B13" t="s">
        <v>180</v>
      </c>
      <c r="C13" t="s">
        <v>181</v>
      </c>
      <c r="D13" t="s">
        <v>182</v>
      </c>
      <c r="E13" t="s">
        <v>161</v>
      </c>
      <c r="F13" t="s">
        <v>151</v>
      </c>
      <c r="G13">
        <v>8750</v>
      </c>
      <c r="I13" s="18" t="s">
        <v>183</v>
      </c>
      <c r="K13" t="e">
        <f t="shared" ca="1" si="0"/>
        <v>#N/A</v>
      </c>
      <c r="L13" t="s">
        <v>617</v>
      </c>
    </row>
    <row r="14" spans="1:12" x14ac:dyDescent="0.3">
      <c r="A14">
        <v>11</v>
      </c>
      <c r="B14" t="s">
        <v>184</v>
      </c>
      <c r="C14" t="s">
        <v>185</v>
      </c>
      <c r="D14" t="s">
        <v>182</v>
      </c>
      <c r="E14" t="s">
        <v>161</v>
      </c>
      <c r="F14" t="s">
        <v>156</v>
      </c>
      <c r="G14">
        <v>11250</v>
      </c>
      <c r="I14" s="18" t="s">
        <v>186</v>
      </c>
      <c r="K14" t="e">
        <f t="shared" ca="1" si="0"/>
        <v>#N/A</v>
      </c>
    </row>
    <row r="15" spans="1:12" x14ac:dyDescent="0.3">
      <c r="A15">
        <v>12</v>
      </c>
      <c r="B15" t="s">
        <v>187</v>
      </c>
      <c r="C15" t="s">
        <v>188</v>
      </c>
      <c r="D15" t="s">
        <v>189</v>
      </c>
      <c r="E15" t="s">
        <v>161</v>
      </c>
      <c r="F15" t="s">
        <v>162</v>
      </c>
      <c r="G15">
        <v>10000</v>
      </c>
      <c r="I15" s="18"/>
      <c r="L15" t="s">
        <v>618</v>
      </c>
    </row>
    <row r="16" spans="1:12" x14ac:dyDescent="0.3">
      <c r="A16">
        <v>13</v>
      </c>
      <c r="B16" t="s">
        <v>190</v>
      </c>
      <c r="C16" t="s">
        <v>148</v>
      </c>
      <c r="D16" t="s">
        <v>191</v>
      </c>
      <c r="E16" t="s">
        <v>161</v>
      </c>
      <c r="F16" t="s">
        <v>145</v>
      </c>
      <c r="G16">
        <v>16250</v>
      </c>
      <c r="I16" s="20" t="s">
        <v>192</v>
      </c>
      <c r="K16" t="e">
        <f ca="1">_xlfn.FORMULATEXT(J16)</f>
        <v>#N/A</v>
      </c>
      <c r="L16" t="s">
        <v>619</v>
      </c>
    </row>
    <row r="17" spans="1:12" x14ac:dyDescent="0.3">
      <c r="A17">
        <v>14</v>
      </c>
      <c r="B17" t="s">
        <v>193</v>
      </c>
      <c r="C17" t="s">
        <v>154</v>
      </c>
      <c r="D17" t="s">
        <v>189</v>
      </c>
      <c r="E17" t="s">
        <v>161</v>
      </c>
      <c r="F17" t="s">
        <v>151</v>
      </c>
      <c r="G17">
        <v>6400</v>
      </c>
      <c r="I17" s="20" t="s">
        <v>194</v>
      </c>
      <c r="K17" t="e">
        <f t="shared" ref="K17:K24" ca="1" si="1">_xlfn.FORMULATEXT(J17)</f>
        <v>#N/A</v>
      </c>
      <c r="L17" t="s">
        <v>620</v>
      </c>
    </row>
    <row r="18" spans="1:12" x14ac:dyDescent="0.3">
      <c r="A18">
        <v>15</v>
      </c>
      <c r="B18" t="s">
        <v>195</v>
      </c>
      <c r="C18" t="s">
        <v>196</v>
      </c>
      <c r="D18" t="s">
        <v>149</v>
      </c>
      <c r="E18" t="s">
        <v>150</v>
      </c>
      <c r="F18" t="s">
        <v>156</v>
      </c>
      <c r="G18">
        <v>2000</v>
      </c>
      <c r="I18" s="20" t="s">
        <v>197</v>
      </c>
      <c r="K18" t="e">
        <f t="shared" ca="1" si="1"/>
        <v>#N/A</v>
      </c>
      <c r="L18" t="s">
        <v>621</v>
      </c>
    </row>
    <row r="19" spans="1:12" x14ac:dyDescent="0.3">
      <c r="A19">
        <v>16</v>
      </c>
      <c r="B19" t="s">
        <v>198</v>
      </c>
      <c r="C19" t="s">
        <v>176</v>
      </c>
      <c r="D19" t="s">
        <v>189</v>
      </c>
      <c r="E19" t="s">
        <v>161</v>
      </c>
      <c r="F19" t="s">
        <v>162</v>
      </c>
      <c r="G19">
        <v>6275</v>
      </c>
      <c r="I19" s="20" t="s">
        <v>199</v>
      </c>
      <c r="K19" t="e">
        <f t="shared" ca="1" si="1"/>
        <v>#N/A</v>
      </c>
      <c r="L19" t="s">
        <v>622</v>
      </c>
    </row>
    <row r="20" spans="1:12" x14ac:dyDescent="0.3">
      <c r="A20">
        <v>17</v>
      </c>
      <c r="B20" t="s">
        <v>200</v>
      </c>
      <c r="C20" t="s">
        <v>201</v>
      </c>
      <c r="D20" t="s">
        <v>143</v>
      </c>
      <c r="E20" t="s">
        <v>144</v>
      </c>
      <c r="F20" t="s">
        <v>202</v>
      </c>
      <c r="G20">
        <v>6250</v>
      </c>
      <c r="I20" s="20" t="s">
        <v>203</v>
      </c>
      <c r="K20" t="e">
        <f t="shared" ca="1" si="1"/>
        <v>#N/A</v>
      </c>
    </row>
    <row r="21" spans="1:12" x14ac:dyDescent="0.3">
      <c r="A21">
        <v>18</v>
      </c>
      <c r="B21" t="s">
        <v>204</v>
      </c>
      <c r="C21" t="s">
        <v>205</v>
      </c>
      <c r="D21" t="s">
        <v>143</v>
      </c>
      <c r="E21" t="s">
        <v>144</v>
      </c>
      <c r="F21" t="s">
        <v>162</v>
      </c>
      <c r="G21">
        <v>8750</v>
      </c>
      <c r="I21" s="22" t="s">
        <v>206</v>
      </c>
      <c r="K21" t="e">
        <f t="shared" ca="1" si="1"/>
        <v>#N/A</v>
      </c>
      <c r="L21" t="s">
        <v>623</v>
      </c>
    </row>
    <row r="22" spans="1:12" x14ac:dyDescent="0.3">
      <c r="A22">
        <v>19</v>
      </c>
      <c r="B22" t="s">
        <v>207</v>
      </c>
      <c r="C22" t="s">
        <v>208</v>
      </c>
      <c r="D22" t="s">
        <v>209</v>
      </c>
      <c r="E22" t="s">
        <v>144</v>
      </c>
      <c r="F22" t="s">
        <v>202</v>
      </c>
      <c r="G22">
        <v>11250</v>
      </c>
      <c r="I22" s="22" t="s">
        <v>206</v>
      </c>
      <c r="K22" t="e">
        <f t="shared" ca="1" si="1"/>
        <v>#N/A</v>
      </c>
      <c r="L22" t="s">
        <v>624</v>
      </c>
    </row>
    <row r="23" spans="1:12" x14ac:dyDescent="0.3">
      <c r="A23">
        <v>20</v>
      </c>
      <c r="B23" t="s">
        <v>210</v>
      </c>
      <c r="C23" t="s">
        <v>211</v>
      </c>
      <c r="D23" t="s">
        <v>155</v>
      </c>
      <c r="E23" t="s">
        <v>150</v>
      </c>
      <c r="F23" t="s">
        <v>145</v>
      </c>
      <c r="G23">
        <v>20000</v>
      </c>
      <c r="I23" s="22" t="s">
        <v>212</v>
      </c>
      <c r="K23" t="e">
        <f t="shared" ca="1" si="1"/>
        <v>#N/A</v>
      </c>
      <c r="L23" t="s">
        <v>625</v>
      </c>
    </row>
    <row r="24" spans="1:12" x14ac:dyDescent="0.3">
      <c r="I24" s="22" t="s">
        <v>213</v>
      </c>
      <c r="K24" t="e">
        <f t="shared" ca="1" si="1"/>
        <v>#N/A</v>
      </c>
      <c r="L24" t="s">
        <v>626</v>
      </c>
    </row>
    <row r="25" spans="1:12" x14ac:dyDescent="0.3">
      <c r="I25" s="22"/>
    </row>
    <row r="26" spans="1:12" x14ac:dyDescent="0.3">
      <c r="I26" s="22"/>
    </row>
    <row r="27" spans="1:12" x14ac:dyDescent="0.3">
      <c r="I27" s="22"/>
    </row>
    <row r="31" spans="1:12" ht="54" x14ac:dyDescent="0.35">
      <c r="I31" s="24" t="s">
        <v>215</v>
      </c>
      <c r="J31" s="11"/>
    </row>
    <row r="32" spans="1:12" x14ac:dyDescent="0.3">
      <c r="B32">
        <v>1</v>
      </c>
    </row>
    <row r="33" spans="2:10" x14ac:dyDescent="0.3">
      <c r="B33">
        <v>2</v>
      </c>
      <c r="I33" t="s">
        <v>216</v>
      </c>
      <c r="J33" t="s">
        <v>229</v>
      </c>
    </row>
    <row r="34" spans="2:10" x14ac:dyDescent="0.3">
      <c r="B34">
        <v>2</v>
      </c>
      <c r="I34" t="s">
        <v>214</v>
      </c>
    </row>
    <row r="35" spans="2:10" x14ac:dyDescent="0.3">
      <c r="B35">
        <v>4</v>
      </c>
      <c r="I35" t="s">
        <v>627</v>
      </c>
    </row>
    <row r="36" spans="2:10" x14ac:dyDescent="0.3">
      <c r="B36">
        <v>5</v>
      </c>
    </row>
    <row r="37" spans="2:10" x14ac:dyDescent="0.3">
      <c r="B37">
        <v>5</v>
      </c>
    </row>
    <row r="40" spans="2:10" x14ac:dyDescent="0.3">
      <c r="B40">
        <v>1</v>
      </c>
    </row>
    <row r="41" spans="2:10" x14ac:dyDescent="0.3">
      <c r="B41">
        <v>2</v>
      </c>
    </row>
    <row r="42" spans="2:10" x14ac:dyDescent="0.3">
      <c r="B42">
        <v>3</v>
      </c>
    </row>
    <row r="43" spans="2:10" x14ac:dyDescent="0.3">
      <c r="B43">
        <v>4</v>
      </c>
    </row>
    <row r="44" spans="2:10" x14ac:dyDescent="0.3">
      <c r="B44">
        <v>5</v>
      </c>
    </row>
    <row r="45" spans="2:10" x14ac:dyDescent="0.3">
      <c r="B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6C2A-7E63-48C6-BB17-32CA9FDDA9FB}">
  <sheetPr codeName="Sheet5"/>
  <dimension ref="A1:H10"/>
  <sheetViews>
    <sheetView workbookViewId="0">
      <selection activeCell="G20" sqref="G20"/>
    </sheetView>
  </sheetViews>
  <sheetFormatPr defaultRowHeight="14.4" x14ac:dyDescent="0.3"/>
  <cols>
    <col min="2" max="2" width="18.33203125" customWidth="1"/>
    <col min="6" max="6" width="9.33203125" bestFit="1" customWidth="1"/>
    <col min="8" max="8" width="12.6640625" customWidth="1"/>
    <col min="9" max="9" width="27.5546875" customWidth="1"/>
    <col min="10" max="10" width="13.5546875" bestFit="1" customWidth="1"/>
  </cols>
  <sheetData>
    <row r="1" spans="1:8" ht="28.8" x14ac:dyDescent="0.55000000000000004">
      <c r="A1" s="23" t="s">
        <v>217</v>
      </c>
      <c r="B1" s="23"/>
      <c r="C1" s="10"/>
    </row>
    <row r="3" spans="1:8" x14ac:dyDescent="0.3">
      <c r="B3" s="89" t="s">
        <v>218</v>
      </c>
      <c r="C3" s="89" t="s">
        <v>219</v>
      </c>
      <c r="D3" s="89" t="s">
        <v>220</v>
      </c>
      <c r="E3" s="89" t="s">
        <v>221</v>
      </c>
      <c r="H3" s="7"/>
    </row>
    <row r="4" spans="1:8" x14ac:dyDescent="0.3">
      <c r="B4" s="7" t="s">
        <v>222</v>
      </c>
      <c r="C4" s="7">
        <v>16</v>
      </c>
      <c r="D4" s="7">
        <v>50</v>
      </c>
      <c r="E4" s="7">
        <f>C4*D4</f>
        <v>800</v>
      </c>
      <c r="H4" s="7"/>
    </row>
    <row r="5" spans="1:8" x14ac:dyDescent="0.3">
      <c r="B5" s="7" t="s">
        <v>223</v>
      </c>
      <c r="C5" s="7">
        <v>20</v>
      </c>
      <c r="D5" s="7">
        <v>30</v>
      </c>
      <c r="E5" s="7">
        <f t="shared" ref="E5:E10" si="0">C5*D5</f>
        <v>600</v>
      </c>
      <c r="H5" s="7"/>
    </row>
    <row r="6" spans="1:8" x14ac:dyDescent="0.3">
      <c r="B6" s="7" t="s">
        <v>224</v>
      </c>
      <c r="C6" s="7">
        <v>25</v>
      </c>
      <c r="D6" s="7">
        <v>40</v>
      </c>
      <c r="E6" s="7">
        <f t="shared" si="0"/>
        <v>1000</v>
      </c>
      <c r="H6" s="7"/>
    </row>
    <row r="7" spans="1:8" x14ac:dyDescent="0.3">
      <c r="B7" s="7" t="s">
        <v>225</v>
      </c>
      <c r="C7" s="7">
        <v>18</v>
      </c>
      <c r="D7" s="7">
        <v>11</v>
      </c>
      <c r="E7" s="7">
        <f t="shared" si="0"/>
        <v>198</v>
      </c>
      <c r="H7" s="7"/>
    </row>
    <row r="8" spans="1:8" x14ac:dyDescent="0.3">
      <c r="B8" s="7" t="s">
        <v>226</v>
      </c>
      <c r="C8" s="7">
        <v>30</v>
      </c>
      <c r="D8" s="7">
        <v>12.33</v>
      </c>
      <c r="E8" s="7">
        <f t="shared" si="0"/>
        <v>369.9</v>
      </c>
      <c r="H8" s="7"/>
    </row>
    <row r="9" spans="1:8" x14ac:dyDescent="0.3">
      <c r="B9" s="7" t="s">
        <v>227</v>
      </c>
      <c r="C9" s="7">
        <v>12</v>
      </c>
      <c r="D9" s="7">
        <v>15</v>
      </c>
      <c r="E9" s="7">
        <f t="shared" si="0"/>
        <v>180</v>
      </c>
      <c r="H9" s="7"/>
    </row>
    <row r="10" spans="1:8" x14ac:dyDescent="0.3">
      <c r="B10" s="7" t="s">
        <v>228</v>
      </c>
      <c r="C10" s="7">
        <v>4</v>
      </c>
      <c r="D10" s="7">
        <v>18</v>
      </c>
      <c r="E10" s="7">
        <f t="shared" si="0"/>
        <v>72</v>
      </c>
      <c r="H1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9C4C-B311-4A6B-95BC-A690DA1A1A28}">
  <sheetPr codeName="Sheet7"/>
  <dimension ref="A1:AD21"/>
  <sheetViews>
    <sheetView workbookViewId="0">
      <selection activeCell="Y22" sqref="Y22"/>
    </sheetView>
  </sheetViews>
  <sheetFormatPr defaultRowHeight="14.4" x14ac:dyDescent="0.3"/>
  <cols>
    <col min="2" max="2" width="13.6640625" customWidth="1"/>
    <col min="4" max="4" width="15.5546875" customWidth="1"/>
    <col min="6" max="6" width="14.88671875" customWidth="1"/>
    <col min="9" max="9" width="16.88671875" customWidth="1"/>
    <col min="11" max="11" width="11.88671875" customWidth="1"/>
    <col min="12" max="12" width="25.6640625" customWidth="1"/>
    <col min="20" max="20" width="13.5546875" customWidth="1"/>
    <col min="21" max="21" width="13.88671875" customWidth="1"/>
    <col min="22" max="22" width="15.6640625" customWidth="1"/>
    <col min="23" max="23" width="14.21875" customWidth="1"/>
    <col min="24" max="24" width="13.88671875" customWidth="1"/>
    <col min="25" max="25" width="13.21875" customWidth="1"/>
    <col min="29" max="29" width="9.6640625" customWidth="1"/>
  </cols>
  <sheetData>
    <row r="1" spans="1:30" ht="25.8" x14ac:dyDescent="0.5">
      <c r="A1" s="27" t="s">
        <v>243</v>
      </c>
      <c r="B1" s="27"/>
      <c r="C1" s="10"/>
    </row>
    <row r="3" spans="1:30" ht="25.8" x14ac:dyDescent="0.5">
      <c r="C3" s="28" t="s">
        <v>244</v>
      </c>
      <c r="D3" s="28"/>
      <c r="I3" s="28" t="s">
        <v>245</v>
      </c>
      <c r="J3" s="20"/>
      <c r="K3" s="20"/>
      <c r="L3" s="20"/>
      <c r="M3" s="20"/>
      <c r="N3" s="20"/>
      <c r="P3" s="20" t="s">
        <v>246</v>
      </c>
      <c r="T3" s="28" t="s">
        <v>247</v>
      </c>
      <c r="U3" s="20"/>
    </row>
    <row r="4" spans="1:30" x14ac:dyDescent="0.3">
      <c r="N4" s="29"/>
      <c r="P4" s="30">
        <v>0.1</v>
      </c>
    </row>
    <row r="6" spans="1:30" x14ac:dyDescent="0.3">
      <c r="B6" s="89" t="s">
        <v>218</v>
      </c>
      <c r="C6" s="89" t="s">
        <v>219</v>
      </c>
      <c r="D6" s="89" t="s">
        <v>220</v>
      </c>
      <c r="E6" s="89" t="s">
        <v>221</v>
      </c>
      <c r="I6" s="89" t="s">
        <v>248</v>
      </c>
      <c r="J6" s="89" t="s">
        <v>249</v>
      </c>
      <c r="K6" s="89" t="s">
        <v>250</v>
      </c>
      <c r="T6" s="25">
        <v>1</v>
      </c>
      <c r="U6" s="25">
        <v>2</v>
      </c>
      <c r="V6" s="14">
        <v>3</v>
      </c>
      <c r="W6" s="14">
        <v>4</v>
      </c>
      <c r="X6" s="14">
        <v>5</v>
      </c>
      <c r="Y6" s="14">
        <v>6</v>
      </c>
      <c r="Z6" s="14">
        <v>7</v>
      </c>
      <c r="AA6" s="14">
        <v>8</v>
      </c>
      <c r="AB6" s="14">
        <v>9</v>
      </c>
      <c r="AC6" s="14">
        <v>10</v>
      </c>
      <c r="AD6" s="14"/>
    </row>
    <row r="7" spans="1:30" x14ac:dyDescent="0.3">
      <c r="B7" s="7" t="s">
        <v>251</v>
      </c>
      <c r="C7" s="7">
        <v>16</v>
      </c>
      <c r="D7" s="7">
        <v>50</v>
      </c>
      <c r="E7" s="7"/>
      <c r="I7" s="7" t="s">
        <v>141</v>
      </c>
      <c r="J7" s="7">
        <v>30000</v>
      </c>
      <c r="K7" s="7"/>
      <c r="T7" s="25">
        <v>2</v>
      </c>
      <c r="U7" s="25"/>
      <c r="V7" s="25"/>
      <c r="W7" s="25"/>
      <c r="X7" s="25"/>
      <c r="Y7" s="25"/>
      <c r="Z7" s="25"/>
      <c r="AA7" s="25"/>
      <c r="AB7" s="25"/>
      <c r="AC7" s="25"/>
      <c r="AD7" s="14"/>
    </row>
    <row r="8" spans="1:30" x14ac:dyDescent="0.3">
      <c r="B8" s="7" t="s">
        <v>252</v>
      </c>
      <c r="C8" s="7">
        <v>20</v>
      </c>
      <c r="D8" s="7">
        <v>30</v>
      </c>
      <c r="E8" s="7"/>
      <c r="I8" s="7" t="s">
        <v>147</v>
      </c>
      <c r="J8" s="7">
        <v>8750</v>
      </c>
      <c r="K8" s="7"/>
      <c r="T8" s="14">
        <v>3</v>
      </c>
      <c r="U8" s="25"/>
      <c r="V8" s="25"/>
      <c r="W8" s="25"/>
      <c r="X8" s="25"/>
      <c r="Y8" s="25"/>
      <c r="Z8" s="25"/>
      <c r="AA8" s="25"/>
      <c r="AB8" s="25"/>
      <c r="AC8" s="25"/>
      <c r="AD8" s="14"/>
    </row>
    <row r="9" spans="1:30" x14ac:dyDescent="0.3">
      <c r="B9" s="7" t="s">
        <v>224</v>
      </c>
      <c r="C9" s="7">
        <v>25</v>
      </c>
      <c r="D9" s="7">
        <v>40</v>
      </c>
      <c r="E9" s="7"/>
      <c r="I9" s="7" t="s">
        <v>153</v>
      </c>
      <c r="J9" s="7">
        <v>11250</v>
      </c>
      <c r="K9" s="7"/>
      <c r="T9" s="14">
        <v>4</v>
      </c>
      <c r="U9" s="25"/>
      <c r="V9" s="25"/>
      <c r="W9" s="25"/>
      <c r="X9" s="25"/>
      <c r="Y9" s="25"/>
      <c r="Z9" s="25"/>
      <c r="AA9" s="25"/>
      <c r="AB9" s="25"/>
      <c r="AC9" s="25"/>
      <c r="AD9" s="14"/>
    </row>
    <row r="10" spans="1:30" x14ac:dyDescent="0.3">
      <c r="B10" s="7" t="s">
        <v>225</v>
      </c>
      <c r="C10" s="7">
        <v>18</v>
      </c>
      <c r="D10" s="7">
        <v>11</v>
      </c>
      <c r="E10" s="7"/>
      <c r="I10" s="7" t="s">
        <v>158</v>
      </c>
      <c r="J10" s="7">
        <v>10000</v>
      </c>
      <c r="K10" s="7"/>
      <c r="T10" s="14">
        <v>5</v>
      </c>
      <c r="U10" s="25"/>
      <c r="V10" s="25"/>
      <c r="W10" s="25"/>
      <c r="X10" s="25"/>
      <c r="Y10" s="25"/>
      <c r="Z10" s="25"/>
      <c r="AA10" s="25"/>
      <c r="AB10" s="25"/>
      <c r="AC10" s="25"/>
      <c r="AD10" s="14"/>
    </row>
    <row r="11" spans="1:30" x14ac:dyDescent="0.3">
      <c r="B11" s="7" t="s">
        <v>226</v>
      </c>
      <c r="C11" s="7">
        <v>30</v>
      </c>
      <c r="D11" s="7">
        <v>12.33</v>
      </c>
      <c r="E11" s="7"/>
      <c r="I11" s="7" t="s">
        <v>164</v>
      </c>
      <c r="J11" s="7">
        <v>16250</v>
      </c>
      <c r="K11" s="7"/>
      <c r="T11" s="14">
        <v>6</v>
      </c>
      <c r="U11" s="25"/>
      <c r="V11" s="25"/>
      <c r="W11" s="25"/>
      <c r="X11" s="25"/>
      <c r="Y11" s="25"/>
      <c r="Z11" s="25"/>
      <c r="AA11" s="25"/>
      <c r="AB11" s="25"/>
      <c r="AC11" s="25"/>
      <c r="AD11" s="14"/>
    </row>
    <row r="12" spans="1:30" x14ac:dyDescent="0.3">
      <c r="B12" s="7" t="s">
        <v>227</v>
      </c>
      <c r="C12" s="7">
        <v>12</v>
      </c>
      <c r="D12" s="7">
        <v>15</v>
      </c>
      <c r="E12" s="7"/>
      <c r="I12" s="7" t="s">
        <v>167</v>
      </c>
      <c r="J12" s="7">
        <v>6400</v>
      </c>
      <c r="K12" s="7"/>
      <c r="T12" s="14">
        <v>7</v>
      </c>
      <c r="U12" s="25"/>
      <c r="V12" s="25"/>
      <c r="W12" s="25"/>
      <c r="X12" s="25"/>
      <c r="Y12" s="25"/>
      <c r="Z12" s="25"/>
      <c r="AA12" s="25"/>
      <c r="AB12" s="25"/>
      <c r="AC12" s="25"/>
      <c r="AD12" s="14"/>
    </row>
    <row r="13" spans="1:30" x14ac:dyDescent="0.3">
      <c r="B13" s="7" t="s">
        <v>228</v>
      </c>
      <c r="C13" s="7">
        <v>4</v>
      </c>
      <c r="D13" s="7">
        <v>18</v>
      </c>
      <c r="E13" s="7"/>
      <c r="I13" s="7" t="s">
        <v>171</v>
      </c>
      <c r="J13" s="7">
        <v>4500</v>
      </c>
      <c r="K13" s="7"/>
      <c r="T13" s="14">
        <v>8</v>
      </c>
      <c r="U13" s="25"/>
      <c r="V13" s="25"/>
      <c r="W13" s="25"/>
      <c r="X13" s="25"/>
      <c r="Y13" s="25"/>
      <c r="Z13" s="25"/>
      <c r="AA13" s="25"/>
      <c r="AB13" s="25"/>
      <c r="AC13" s="25"/>
      <c r="AD13" s="14"/>
    </row>
    <row r="14" spans="1:30" x14ac:dyDescent="0.3">
      <c r="I14" s="7" t="s">
        <v>175</v>
      </c>
      <c r="J14" s="7">
        <v>6275</v>
      </c>
      <c r="K14" s="7"/>
      <c r="T14" s="14">
        <v>9</v>
      </c>
      <c r="U14" s="25"/>
      <c r="V14" s="25"/>
      <c r="W14" s="25"/>
      <c r="X14" s="25"/>
      <c r="Y14" s="25"/>
      <c r="Z14" s="25"/>
      <c r="AA14" s="25"/>
      <c r="AB14" s="25"/>
      <c r="AC14" s="25"/>
      <c r="AD14" s="14"/>
    </row>
    <row r="15" spans="1:30" x14ac:dyDescent="0.3">
      <c r="T15" s="14">
        <v>10</v>
      </c>
      <c r="U15" s="25"/>
      <c r="V15" s="25"/>
      <c r="W15" s="25"/>
      <c r="X15" s="25"/>
      <c r="Y15" s="25"/>
      <c r="Z15" s="25"/>
      <c r="AA15" s="25"/>
      <c r="AB15" s="25"/>
      <c r="AC15" s="25"/>
      <c r="AD15" s="14"/>
    </row>
    <row r="16" spans="1:30" x14ac:dyDescent="0.3"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0:30" x14ac:dyDescent="0.3"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0:30" x14ac:dyDescent="0.3"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20:30" x14ac:dyDescent="0.3"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1" spans="20:30" x14ac:dyDescent="0.3">
      <c r="U21" s="31" t="e">
        <f ca="1">_xlfn.FORMULATEXT(U7)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5A7F-430E-4101-9001-B2D18069C42C}">
  <sheetPr codeName="Sheet8"/>
  <dimension ref="A1:AH55"/>
  <sheetViews>
    <sheetView workbookViewId="0">
      <selection activeCell="M30" sqref="M29:M30"/>
    </sheetView>
  </sheetViews>
  <sheetFormatPr defaultRowHeight="14.4" x14ac:dyDescent="0.3"/>
  <cols>
    <col min="3" max="3" width="28.77734375" customWidth="1"/>
    <col min="4" max="4" width="16.33203125" customWidth="1"/>
    <col min="5" max="5" width="35" customWidth="1"/>
    <col min="9" max="9" width="25" customWidth="1"/>
    <col min="10" max="10" width="29.77734375" customWidth="1"/>
    <col min="11" max="11" width="36.44140625" customWidth="1"/>
    <col min="12" max="12" width="36.88671875" customWidth="1"/>
    <col min="13" max="13" width="58.88671875" customWidth="1"/>
    <col min="14" max="14" width="16.77734375" customWidth="1"/>
    <col min="15" max="15" width="34.6640625" customWidth="1"/>
    <col min="17" max="17" width="14.21875" customWidth="1"/>
    <col min="18" max="18" width="23.44140625" customWidth="1"/>
    <col min="19" max="19" width="31.77734375" customWidth="1"/>
    <col min="20" max="20" width="31.109375" customWidth="1"/>
    <col min="23" max="23" width="12.21875" customWidth="1"/>
    <col min="24" max="24" width="28.109375" customWidth="1"/>
    <col min="26" max="26" width="17.33203125" customWidth="1"/>
    <col min="27" max="27" width="15.88671875" customWidth="1"/>
    <col min="28" max="28" width="22" customWidth="1"/>
    <col min="29" max="29" width="23.77734375" customWidth="1"/>
    <col min="30" max="30" width="24" customWidth="1"/>
    <col min="31" max="31" width="5" customWidth="1"/>
    <col min="32" max="32" width="26.44140625" customWidth="1"/>
    <col min="33" max="33" width="20.44140625" customWidth="1"/>
    <col min="34" max="34" width="9.5546875" bestFit="1" customWidth="1"/>
  </cols>
  <sheetData>
    <row r="1" spans="1:34" ht="28.8" x14ac:dyDescent="0.3">
      <c r="A1" s="32" t="s">
        <v>253</v>
      </c>
    </row>
    <row r="3" spans="1:34" x14ac:dyDescent="0.3">
      <c r="R3" s="33" t="s">
        <v>254</v>
      </c>
      <c r="S3" s="33"/>
      <c r="T3" s="33"/>
      <c r="U3" s="33"/>
      <c r="V3" s="33"/>
      <c r="Z3" s="33" t="s">
        <v>255</v>
      </c>
      <c r="AA3" s="33"/>
      <c r="AB3" s="33"/>
      <c r="AC3" s="33"/>
      <c r="AD3" s="33"/>
    </row>
    <row r="5" spans="1:34" x14ac:dyDescent="0.3">
      <c r="B5" t="s">
        <v>256</v>
      </c>
      <c r="C5" s="34"/>
      <c r="D5" s="35" t="s">
        <v>257</v>
      </c>
      <c r="E5" s="36" t="s">
        <v>258</v>
      </c>
      <c r="K5" s="37" t="s">
        <v>256</v>
      </c>
      <c r="L5" s="37" t="s">
        <v>259</v>
      </c>
      <c r="M5" s="37" t="s">
        <v>260</v>
      </c>
      <c r="N5" s="37" t="s">
        <v>16</v>
      </c>
      <c r="O5" s="37" t="s">
        <v>256</v>
      </c>
      <c r="R5" s="38" t="s">
        <v>261</v>
      </c>
      <c r="S5" s="39">
        <v>44927</v>
      </c>
      <c r="T5" s="19"/>
      <c r="U5" s="19"/>
      <c r="V5" s="19"/>
      <c r="W5" s="33" t="s">
        <v>262</v>
      </c>
      <c r="Z5" s="33"/>
      <c r="AA5" s="33"/>
      <c r="AB5" s="33"/>
      <c r="AC5" s="38" t="s">
        <v>263</v>
      </c>
      <c r="AF5" s="38" t="s">
        <v>264</v>
      </c>
      <c r="AG5" s="33"/>
    </row>
    <row r="6" spans="1:34" x14ac:dyDescent="0.3">
      <c r="B6" t="s">
        <v>265</v>
      </c>
      <c r="C6" s="40"/>
      <c r="D6" s="35" t="s">
        <v>266</v>
      </c>
      <c r="E6" s="36" t="s">
        <v>258</v>
      </c>
      <c r="K6" s="41">
        <v>45632</v>
      </c>
      <c r="L6" s="7"/>
      <c r="M6" s="7"/>
      <c r="N6" s="7"/>
      <c r="O6" s="34"/>
      <c r="R6" s="33" t="s">
        <v>267</v>
      </c>
      <c r="S6" s="19">
        <v>250</v>
      </c>
      <c r="T6" s="19"/>
      <c r="U6" s="19"/>
      <c r="V6" s="19"/>
      <c r="W6" s="34">
        <v>44931</v>
      </c>
      <c r="Z6" s="38" t="s">
        <v>268</v>
      </c>
      <c r="AA6" s="38" t="s">
        <v>429</v>
      </c>
      <c r="AB6" s="38" t="s">
        <v>597</v>
      </c>
      <c r="AC6" s="38" t="s">
        <v>269</v>
      </c>
      <c r="AF6" s="33" t="s">
        <v>270</v>
      </c>
      <c r="AG6" s="33" t="s">
        <v>271</v>
      </c>
    </row>
    <row r="7" spans="1:34" x14ac:dyDescent="0.3">
      <c r="B7" t="s">
        <v>272</v>
      </c>
      <c r="C7" s="42"/>
      <c r="D7" s="35" t="e">
        <f ca="1">_xlfn.FORMULATEXT(C7)</f>
        <v>#N/A</v>
      </c>
      <c r="E7" t="s">
        <v>273</v>
      </c>
      <c r="K7" s="7"/>
      <c r="L7" s="64" t="e">
        <f ca="1">_xlfn.FORMULATEXT(L6)</f>
        <v>#N/A</v>
      </c>
      <c r="M7" s="64" t="e">
        <f t="shared" ref="M7:O7" ca="1" si="0">_xlfn.FORMULATEXT(M6)</f>
        <v>#N/A</v>
      </c>
      <c r="N7" s="64" t="e">
        <f t="shared" ca="1" si="0"/>
        <v>#N/A</v>
      </c>
      <c r="O7" s="64" t="e">
        <f t="shared" ca="1" si="0"/>
        <v>#N/A</v>
      </c>
      <c r="W7" s="34">
        <v>45051</v>
      </c>
      <c r="Z7" s="7" t="s">
        <v>141</v>
      </c>
      <c r="AA7" s="43">
        <v>45268</v>
      </c>
      <c r="AB7" s="7">
        <v>60</v>
      </c>
      <c r="AC7" s="34"/>
      <c r="AD7" s="34"/>
      <c r="AF7" s="34"/>
      <c r="AG7" s="34"/>
      <c r="AH7" s="34"/>
    </row>
    <row r="8" spans="1:34" x14ac:dyDescent="0.3">
      <c r="B8" t="s">
        <v>274</v>
      </c>
      <c r="C8" s="44"/>
      <c r="D8" s="35" t="e">
        <f ca="1">_xlfn.FORMULATEXT(C8)</f>
        <v>#N/A</v>
      </c>
      <c r="K8" s="7"/>
      <c r="L8" s="7"/>
      <c r="M8" s="7"/>
      <c r="N8" s="7"/>
      <c r="O8" s="7"/>
      <c r="W8" s="34">
        <v>45267</v>
      </c>
      <c r="Z8" s="7" t="s">
        <v>147</v>
      </c>
      <c r="AA8" s="43">
        <v>45275</v>
      </c>
      <c r="AB8" s="7">
        <v>120</v>
      </c>
      <c r="AC8" s="34"/>
      <c r="AF8" s="34"/>
      <c r="AG8" s="34"/>
    </row>
    <row r="9" spans="1:34" x14ac:dyDescent="0.3">
      <c r="B9" t="s">
        <v>275</v>
      </c>
      <c r="C9" s="45"/>
      <c r="D9" s="35" t="e">
        <f ca="1">_xlfn.FORMULATEXT(C9)</f>
        <v>#N/A</v>
      </c>
      <c r="E9" t="s">
        <v>276</v>
      </c>
      <c r="K9" s="7"/>
      <c r="L9" s="7"/>
      <c r="M9" s="7"/>
      <c r="N9" s="7"/>
      <c r="W9" s="34">
        <v>45128</v>
      </c>
      <c r="Z9" s="7" t="s">
        <v>153</v>
      </c>
      <c r="AA9" s="43">
        <v>45267</v>
      </c>
      <c r="AB9" s="7">
        <v>40</v>
      </c>
      <c r="AC9" s="34"/>
      <c r="AF9" s="34"/>
      <c r="AG9" s="34"/>
    </row>
    <row r="10" spans="1:34" x14ac:dyDescent="0.3">
      <c r="Q10" s="33" t="s">
        <v>278</v>
      </c>
      <c r="R10" s="34"/>
      <c r="S10" s="34"/>
      <c r="T10" t="e">
        <f ca="1">_xlfn.FORMULATEXT(S10)</f>
        <v>#N/A</v>
      </c>
      <c r="W10" s="34"/>
      <c r="Z10" s="7" t="s">
        <v>158</v>
      </c>
      <c r="AA10" s="43">
        <v>41671</v>
      </c>
      <c r="AB10" s="7">
        <v>30</v>
      </c>
      <c r="AC10" s="34"/>
      <c r="AF10" s="34"/>
      <c r="AG10" s="34"/>
    </row>
    <row r="11" spans="1:34" x14ac:dyDescent="0.3">
      <c r="K11" s="37" t="s">
        <v>265</v>
      </c>
      <c r="L11" s="37" t="s">
        <v>281</v>
      </c>
      <c r="M11" s="37" t="s">
        <v>282</v>
      </c>
      <c r="N11" s="37" t="s">
        <v>283</v>
      </c>
      <c r="O11" s="37" t="s">
        <v>284</v>
      </c>
      <c r="Q11" s="33" t="s">
        <v>279</v>
      </c>
      <c r="R11" s="34"/>
      <c r="S11" s="34"/>
      <c r="T11" t="e">
        <f ca="1">_xlfn.FORMULATEXT(S11)</f>
        <v>#N/A</v>
      </c>
      <c r="W11" s="34"/>
      <c r="Z11" s="7" t="s">
        <v>164</v>
      </c>
      <c r="AA11" s="43">
        <v>45306</v>
      </c>
      <c r="AB11" s="7">
        <v>60</v>
      </c>
      <c r="AC11" s="34"/>
      <c r="AF11" s="34"/>
      <c r="AG11" s="34"/>
    </row>
    <row r="12" spans="1:34" x14ac:dyDescent="0.3">
      <c r="K12" s="46">
        <v>0.35023148148148148</v>
      </c>
      <c r="L12" s="7"/>
      <c r="M12" s="7"/>
      <c r="N12" s="7"/>
      <c r="O12" s="40"/>
      <c r="Z12" s="7" t="s">
        <v>167</v>
      </c>
      <c r="AA12" s="43">
        <v>45278</v>
      </c>
      <c r="AB12" s="7">
        <v>40</v>
      </c>
      <c r="AC12" s="34"/>
      <c r="AF12" s="34"/>
      <c r="AG12" s="34"/>
    </row>
    <row r="13" spans="1:34" x14ac:dyDescent="0.3">
      <c r="L13" s="50" t="e">
        <f ca="1">_xlfn.FORMULATEXT(L12)</f>
        <v>#N/A</v>
      </c>
      <c r="M13" s="50" t="e">
        <f t="shared" ref="M13:O13" ca="1" si="1">_xlfn.FORMULATEXT(M12)</f>
        <v>#N/A</v>
      </c>
      <c r="N13" s="50" t="e">
        <f t="shared" ca="1" si="1"/>
        <v>#N/A</v>
      </c>
      <c r="O13" s="50" t="e">
        <f t="shared" ca="1" si="1"/>
        <v>#N/A</v>
      </c>
      <c r="Z13" s="7" t="s">
        <v>171</v>
      </c>
      <c r="AA13" s="43">
        <v>45518</v>
      </c>
      <c r="AB13" s="7">
        <v>48</v>
      </c>
      <c r="AC13" s="34"/>
      <c r="AF13" s="34"/>
      <c r="AG13" s="34"/>
    </row>
    <row r="14" spans="1:34" x14ac:dyDescent="0.3">
      <c r="Z14" s="7" t="s">
        <v>175</v>
      </c>
      <c r="AA14" s="43">
        <v>41688</v>
      </c>
      <c r="AB14" s="7">
        <v>24</v>
      </c>
      <c r="AC14" s="34"/>
      <c r="AF14" s="34"/>
      <c r="AG14" s="34"/>
    </row>
    <row r="15" spans="1:34" x14ac:dyDescent="0.3">
      <c r="Z15" s="7" t="s">
        <v>178</v>
      </c>
      <c r="AA15" s="43">
        <v>45487</v>
      </c>
      <c r="AB15" s="7">
        <v>50</v>
      </c>
      <c r="AC15" s="34"/>
      <c r="AF15" s="34"/>
      <c r="AG15" s="34"/>
    </row>
    <row r="16" spans="1:34" x14ac:dyDescent="0.3">
      <c r="Z16" s="7" t="s">
        <v>180</v>
      </c>
      <c r="AA16" s="43">
        <v>41671</v>
      </c>
      <c r="AB16" s="7">
        <v>70</v>
      </c>
      <c r="AC16" s="34"/>
      <c r="AF16" s="34"/>
      <c r="AG16" s="34"/>
    </row>
    <row r="17" spans="9:33" x14ac:dyDescent="0.3">
      <c r="J17" s="31" t="s">
        <v>277</v>
      </c>
    </row>
    <row r="19" spans="9:33" x14ac:dyDescent="0.3">
      <c r="AF19" s="20"/>
      <c r="AG19" s="20" t="e">
        <f ca="1">_xlfn.FORMULATEXT(AG7)</f>
        <v>#N/A</v>
      </c>
    </row>
    <row r="23" spans="9:33" x14ac:dyDescent="0.3">
      <c r="N23" s="7"/>
    </row>
    <row r="27" spans="9:33" ht="15.6" customHeight="1" x14ac:dyDescent="0.3"/>
    <row r="28" spans="9:33" ht="49.2" customHeight="1" x14ac:dyDescent="0.3"/>
    <row r="29" spans="9:33" ht="18.600000000000001" customHeight="1" x14ac:dyDescent="0.3">
      <c r="K29" s="37" t="s">
        <v>285</v>
      </c>
      <c r="L29" s="41">
        <v>17394</v>
      </c>
    </row>
    <row r="30" spans="9:33" x14ac:dyDescent="0.3">
      <c r="K30" s="37" t="s">
        <v>286</v>
      </c>
      <c r="L30" s="41">
        <f ca="1">TODAY()</f>
        <v>46269</v>
      </c>
    </row>
    <row r="32" spans="9:33" x14ac:dyDescent="0.3">
      <c r="K32" s="37" t="s">
        <v>287</v>
      </c>
      <c r="M32" s="56"/>
    </row>
    <row r="33" spans="9:14" x14ac:dyDescent="0.3">
      <c r="K33" s="37" t="s">
        <v>288</v>
      </c>
      <c r="M33" s="56"/>
    </row>
    <row r="34" spans="9:14" x14ac:dyDescent="0.3">
      <c r="K34" s="37" t="s">
        <v>289</v>
      </c>
      <c r="M34" s="56"/>
    </row>
    <row r="35" spans="9:14" x14ac:dyDescent="0.3">
      <c r="K35" s="38" t="s">
        <v>280</v>
      </c>
    </row>
    <row r="37" spans="9:14" x14ac:dyDescent="0.3">
      <c r="M37" s="56"/>
      <c r="N37" s="34"/>
    </row>
    <row r="38" spans="9:14" x14ac:dyDescent="0.3">
      <c r="L38" s="19"/>
      <c r="M38" s="56"/>
      <c r="N38" s="34"/>
    </row>
    <row r="39" spans="9:14" x14ac:dyDescent="0.3">
      <c r="L39" s="19"/>
      <c r="M39" s="56"/>
    </row>
    <row r="40" spans="9:14" x14ac:dyDescent="0.3">
      <c r="L40" s="19"/>
      <c r="M40" s="56"/>
    </row>
    <row r="44" spans="9:14" x14ac:dyDescent="0.3">
      <c r="J44" s="33" t="s">
        <v>290</v>
      </c>
      <c r="K44" s="42">
        <v>45658</v>
      </c>
      <c r="M44" s="50" t="e">
        <f ca="1">_xlfn.FORMULATEXT(L44)</f>
        <v>#N/A</v>
      </c>
    </row>
    <row r="45" spans="9:14" x14ac:dyDescent="0.3">
      <c r="J45" s="33" t="s">
        <v>291</v>
      </c>
      <c r="K45" s="34"/>
      <c r="M45" s="50" t="e">
        <f ca="1">_xlfn.FORMULATEXT(L45)</f>
        <v>#N/A</v>
      </c>
    </row>
    <row r="46" spans="9:14" x14ac:dyDescent="0.3">
      <c r="L46" s="34"/>
    </row>
    <row r="47" spans="9:14" x14ac:dyDescent="0.3">
      <c r="I47" t="s">
        <v>292</v>
      </c>
      <c r="J47" s="31" t="s">
        <v>293</v>
      </c>
      <c r="K47" s="42">
        <v>44927</v>
      </c>
    </row>
    <row r="48" spans="9:14" x14ac:dyDescent="0.3">
      <c r="I48" t="s">
        <v>294</v>
      </c>
      <c r="J48" s="31" t="s">
        <v>286</v>
      </c>
      <c r="K48" s="42">
        <v>45291</v>
      </c>
    </row>
    <row r="51" spans="9:12" x14ac:dyDescent="0.3">
      <c r="I51" t="s">
        <v>262</v>
      </c>
      <c r="L51" t="e">
        <f ca="1">_xlfn.FORMULATEXT(K51)</f>
        <v>#N/A</v>
      </c>
    </row>
    <row r="52" spans="9:12" x14ac:dyDescent="0.3">
      <c r="I52" s="34">
        <v>44931</v>
      </c>
      <c r="L52" t="e">
        <f ca="1">_xlfn.FORMULATEXT(K52)</f>
        <v>#N/A</v>
      </c>
    </row>
    <row r="53" spans="9:12" x14ac:dyDescent="0.3">
      <c r="I53" s="34">
        <v>45051</v>
      </c>
    </row>
    <row r="54" spans="9:12" x14ac:dyDescent="0.3">
      <c r="I54" s="34">
        <v>45267</v>
      </c>
    </row>
    <row r="55" spans="9:12" x14ac:dyDescent="0.3">
      <c r="I55" s="34">
        <v>45128</v>
      </c>
      <c r="L55" s="34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6601-19DE-4D3E-884B-56D2084EA1BA}">
  <sheetPr codeName="Sheet9"/>
  <dimension ref="B1:AI16"/>
  <sheetViews>
    <sheetView workbookViewId="0">
      <selection activeCell="AI16" sqref="AI16"/>
    </sheetView>
  </sheetViews>
  <sheetFormatPr defaultRowHeight="14.4" x14ac:dyDescent="0.3"/>
  <cols>
    <col min="2" max="2" width="23.77734375" customWidth="1"/>
    <col min="3" max="3" width="23" customWidth="1"/>
    <col min="4" max="4" width="20.109375" customWidth="1"/>
    <col min="5" max="5" width="15.77734375" customWidth="1"/>
    <col min="6" max="6" width="13.6640625" customWidth="1"/>
    <col min="9" max="9" width="29.88671875" customWidth="1"/>
    <col min="10" max="10" width="17.5546875" customWidth="1"/>
    <col min="13" max="13" width="16.21875" bestFit="1" customWidth="1"/>
    <col min="14" max="14" width="16.5546875" customWidth="1"/>
    <col min="15" max="15" width="17.33203125" customWidth="1"/>
    <col min="16" max="16" width="19.6640625" customWidth="1"/>
    <col min="19" max="19" width="15.109375" customWidth="1"/>
    <col min="20" max="20" width="17.77734375" customWidth="1"/>
    <col min="21" max="21" width="27.21875" customWidth="1"/>
    <col min="22" max="22" width="21.77734375" customWidth="1"/>
    <col min="25" max="25" width="18.44140625" customWidth="1"/>
    <col min="26" max="26" width="17.5546875" customWidth="1"/>
    <col min="27" max="27" width="26" customWidth="1"/>
    <col min="28" max="28" width="23.109375" customWidth="1"/>
    <col min="29" max="29" width="28.5546875" customWidth="1"/>
    <col min="30" max="30" width="36.6640625" customWidth="1"/>
    <col min="31" max="31" width="30.6640625" customWidth="1"/>
    <col min="34" max="34" width="29.5546875" customWidth="1"/>
    <col min="35" max="35" width="25.44140625" customWidth="1"/>
  </cols>
  <sheetData>
    <row r="1" spans="2:35" ht="28.8" x14ac:dyDescent="0.3">
      <c r="B1" s="32" t="s">
        <v>253</v>
      </c>
    </row>
    <row r="2" spans="2:35" ht="28.8" x14ac:dyDescent="0.3">
      <c r="B2" s="32"/>
    </row>
    <row r="4" spans="2:35" x14ac:dyDescent="0.3">
      <c r="B4" s="17" t="s">
        <v>295</v>
      </c>
      <c r="C4" s="31" t="s">
        <v>296</v>
      </c>
      <c r="D4" s="31" t="s">
        <v>297</v>
      </c>
      <c r="E4" s="31" t="s">
        <v>298</v>
      </c>
      <c r="F4" s="31" t="s">
        <v>299</v>
      </c>
      <c r="G4" s="19"/>
      <c r="I4" s="26" t="s">
        <v>295</v>
      </c>
      <c r="J4" s="47" t="s">
        <v>300</v>
      </c>
      <c r="K4" s="19"/>
      <c r="L4" s="19"/>
      <c r="M4" s="17" t="s">
        <v>295</v>
      </c>
      <c r="N4" s="31" t="s">
        <v>301</v>
      </c>
      <c r="O4" s="31" t="s">
        <v>302</v>
      </c>
      <c r="P4" s="31" t="s">
        <v>303</v>
      </c>
      <c r="S4" s="17" t="s">
        <v>295</v>
      </c>
      <c r="T4" s="17" t="s">
        <v>599</v>
      </c>
      <c r="U4" s="31" t="s">
        <v>304</v>
      </c>
      <c r="V4" s="31" t="s">
        <v>305</v>
      </c>
      <c r="Y4" s="17" t="s">
        <v>295</v>
      </c>
      <c r="Z4" s="17" t="s">
        <v>295</v>
      </c>
      <c r="AA4" s="48" t="s">
        <v>306</v>
      </c>
      <c r="AB4" s="48" t="s">
        <v>307</v>
      </c>
      <c r="AC4" s="48" t="s">
        <v>308</v>
      </c>
      <c r="AD4" s="48" t="s">
        <v>309</v>
      </c>
      <c r="AE4" s="49" t="s">
        <v>310</v>
      </c>
      <c r="AF4" s="19"/>
      <c r="AG4" s="19"/>
      <c r="AH4" s="17" t="s">
        <v>311</v>
      </c>
      <c r="AI4" s="49" t="s">
        <v>312</v>
      </c>
    </row>
    <row r="5" spans="2:35" x14ac:dyDescent="0.3">
      <c r="B5" t="s">
        <v>313</v>
      </c>
      <c r="I5" s="14" t="s">
        <v>314</v>
      </c>
      <c r="J5" s="14"/>
      <c r="M5" t="s">
        <v>313</v>
      </c>
      <c r="S5" t="s">
        <v>315</v>
      </c>
      <c r="T5" t="s">
        <v>316</v>
      </c>
      <c r="Y5" t="s">
        <v>317</v>
      </c>
      <c r="Z5" t="s">
        <v>141</v>
      </c>
      <c r="AH5" t="s">
        <v>318</v>
      </c>
    </row>
    <row r="6" spans="2:35" x14ac:dyDescent="0.3">
      <c r="B6" t="s">
        <v>319</v>
      </c>
      <c r="I6" s="14" t="s">
        <v>320</v>
      </c>
      <c r="J6" s="14"/>
      <c r="M6" t="s">
        <v>319</v>
      </c>
      <c r="S6" t="s">
        <v>48</v>
      </c>
      <c r="T6" t="s">
        <v>321</v>
      </c>
      <c r="Y6" t="s">
        <v>322</v>
      </c>
      <c r="Z6" t="s">
        <v>322</v>
      </c>
      <c r="AH6" t="s">
        <v>323</v>
      </c>
    </row>
    <row r="7" spans="2:35" x14ac:dyDescent="0.3">
      <c r="B7" t="s">
        <v>324</v>
      </c>
      <c r="I7" s="14" t="s">
        <v>325</v>
      </c>
      <c r="J7" s="14"/>
      <c r="M7" t="s">
        <v>324</v>
      </c>
      <c r="S7" t="s">
        <v>51</v>
      </c>
      <c r="T7" t="s">
        <v>326</v>
      </c>
      <c r="Y7" t="s">
        <v>327</v>
      </c>
      <c r="Z7" t="s">
        <v>328</v>
      </c>
      <c r="AH7" t="s">
        <v>329</v>
      </c>
    </row>
    <row r="8" spans="2:35" x14ac:dyDescent="0.3">
      <c r="B8" t="s">
        <v>158</v>
      </c>
      <c r="I8" s="14" t="s">
        <v>330</v>
      </c>
      <c r="J8" s="14"/>
      <c r="M8" t="s">
        <v>158</v>
      </c>
      <c r="S8" t="s">
        <v>331</v>
      </c>
      <c r="T8" t="s">
        <v>332</v>
      </c>
      <c r="Y8" t="s">
        <v>158</v>
      </c>
      <c r="Z8" t="s">
        <v>158</v>
      </c>
    </row>
    <row r="9" spans="2:35" x14ac:dyDescent="0.3">
      <c r="B9" t="s">
        <v>333</v>
      </c>
      <c r="I9" s="14" t="s">
        <v>334</v>
      </c>
      <c r="J9" s="14"/>
      <c r="M9" t="s">
        <v>333</v>
      </c>
      <c r="S9" t="s">
        <v>335</v>
      </c>
      <c r="T9" t="s">
        <v>336</v>
      </c>
      <c r="Y9" t="s">
        <v>164</v>
      </c>
      <c r="Z9" t="s">
        <v>164</v>
      </c>
    </row>
    <row r="10" spans="2:35" x14ac:dyDescent="0.3">
      <c r="B10" t="s">
        <v>337</v>
      </c>
      <c r="I10" s="14" t="s">
        <v>338</v>
      </c>
      <c r="J10" s="14"/>
      <c r="M10" t="s">
        <v>337</v>
      </c>
      <c r="S10" t="s">
        <v>339</v>
      </c>
      <c r="T10" t="s">
        <v>340</v>
      </c>
      <c r="Y10" t="s">
        <v>341</v>
      </c>
      <c r="Z10" t="s">
        <v>342</v>
      </c>
    </row>
    <row r="11" spans="2:35" x14ac:dyDescent="0.3">
      <c r="B11" t="s">
        <v>343</v>
      </c>
      <c r="I11" s="14" t="s">
        <v>344</v>
      </c>
      <c r="J11" s="14"/>
      <c r="M11" t="s">
        <v>343</v>
      </c>
      <c r="S11" t="s">
        <v>345</v>
      </c>
      <c r="T11" t="s">
        <v>346</v>
      </c>
      <c r="Y11" t="s">
        <v>347</v>
      </c>
      <c r="Z11" s="50" t="s">
        <v>348</v>
      </c>
      <c r="AC11" s="50"/>
      <c r="AD11" s="50"/>
      <c r="AH11" s="22" t="e">
        <f ca="1">_xlfn.FORMULATEXT(AI5)</f>
        <v>#N/A</v>
      </c>
    </row>
    <row r="12" spans="2:35" x14ac:dyDescent="0.3">
      <c r="B12" t="s">
        <v>349</v>
      </c>
      <c r="I12" s="14" t="s">
        <v>350</v>
      </c>
      <c r="J12" s="14"/>
      <c r="M12" t="s">
        <v>349</v>
      </c>
      <c r="S12" t="s">
        <v>351</v>
      </c>
      <c r="T12" t="s">
        <v>346</v>
      </c>
      <c r="Y12" t="s">
        <v>180</v>
      </c>
      <c r="Z12" t="s">
        <v>352</v>
      </c>
      <c r="AH12" s="22" t="e">
        <f t="shared" ref="AH12:AH13" ca="1" si="0">_xlfn.FORMULATEXT(AI6)</f>
        <v>#N/A</v>
      </c>
    </row>
    <row r="13" spans="2:35" x14ac:dyDescent="0.3">
      <c r="B13" t="s">
        <v>353</v>
      </c>
      <c r="I13" s="14" t="s">
        <v>354</v>
      </c>
      <c r="J13" s="14"/>
      <c r="M13" t="s">
        <v>598</v>
      </c>
      <c r="S13" t="s">
        <v>355</v>
      </c>
      <c r="T13" t="s">
        <v>356</v>
      </c>
      <c r="Y13" t="s">
        <v>357</v>
      </c>
      <c r="Z13" t="s">
        <v>357</v>
      </c>
      <c r="AH13" s="22" t="e">
        <f t="shared" ca="1" si="0"/>
        <v>#N/A</v>
      </c>
    </row>
    <row r="14" spans="2:35" x14ac:dyDescent="0.3">
      <c r="B14" t="s">
        <v>358</v>
      </c>
      <c r="M14" t="s">
        <v>358</v>
      </c>
      <c r="AH14" s="22"/>
    </row>
    <row r="15" spans="2:35" x14ac:dyDescent="0.3">
      <c r="AA15" s="21" t="e">
        <f ca="1">_xlfn.FORMULATEXT(AA5)</f>
        <v>#N/A</v>
      </c>
      <c r="AB15" s="21" t="e">
        <f ca="1">_xlfn.FORMULATEXT(AB5)</f>
        <v>#N/A</v>
      </c>
      <c r="AC15" s="21" t="e">
        <f ca="1">_xlfn.FORMULATEXT(AC5)</f>
        <v>#N/A</v>
      </c>
      <c r="AD15" s="21" t="e">
        <f ca="1">_xlfn.FORMULATEXT(AD5)</f>
        <v>#N/A</v>
      </c>
      <c r="AE15" s="21" t="e">
        <f ca="1">_xlfn.FORMULATEXT(AE5)</f>
        <v>#N/A</v>
      </c>
    </row>
    <row r="16" spans="2:35" x14ac:dyDescent="0.3">
      <c r="C16" s="50" t="e">
        <f ca="1">_xlfn.FORMULATEXT(C5)</f>
        <v>#N/A</v>
      </c>
      <c r="D16" s="50" t="e">
        <f t="shared" ref="D16:F16" ca="1" si="1">_xlfn.FORMULATEXT(D5)</f>
        <v>#N/A</v>
      </c>
      <c r="E16" s="50" t="e">
        <f t="shared" ca="1" si="1"/>
        <v>#N/A</v>
      </c>
      <c r="F16" s="50" t="e">
        <f t="shared" ca="1" si="1"/>
        <v>#N/A</v>
      </c>
      <c r="I16" s="51"/>
      <c r="J16" s="21" t="e">
        <f ca="1">_xlfn.FORMULATEXT(J5)</f>
        <v>#N/A</v>
      </c>
      <c r="N16" s="21" t="e">
        <f ca="1">_xlfn.FORMULATEXT(N5)</f>
        <v>#N/A</v>
      </c>
      <c r="O16" s="21" t="e">
        <f t="shared" ref="O16:P16" ca="1" si="2">_xlfn.FORMULATEXT(O5)</f>
        <v>#N/A</v>
      </c>
      <c r="P16" s="21" t="e">
        <f t="shared" ca="1" si="2"/>
        <v>#N/A</v>
      </c>
      <c r="U16" s="21" t="e">
        <f ca="1">_xlfn.FORMULATEXT(U5)</f>
        <v>#N/A</v>
      </c>
      <c r="V16" s="21" t="e">
        <f ca="1">_xlfn.FORMULATEXT(V5)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B8FC-1927-4DD8-A95F-42A70F4B2CE9}">
  <sheetPr codeName="Sheet10"/>
  <dimension ref="A1:R81"/>
  <sheetViews>
    <sheetView topLeftCell="A34" zoomScale="85" workbookViewId="0">
      <selection activeCell="H79" sqref="H79"/>
    </sheetView>
  </sheetViews>
  <sheetFormatPr defaultRowHeight="14.4" x14ac:dyDescent="0.3"/>
  <cols>
    <col min="2" max="2" width="18.88671875" customWidth="1"/>
    <col min="3" max="3" width="18" customWidth="1"/>
    <col min="4" max="4" width="24.6640625" customWidth="1"/>
    <col min="5" max="5" width="19.88671875" customWidth="1"/>
    <col min="6" max="6" width="20.77734375" customWidth="1"/>
    <col min="7" max="7" width="27.33203125" customWidth="1"/>
    <col min="8" max="8" width="27" customWidth="1"/>
    <col min="9" max="9" width="23.109375" customWidth="1"/>
    <col min="10" max="10" width="15.109375" customWidth="1"/>
    <col min="11" max="11" width="14" customWidth="1"/>
    <col min="12" max="12" width="12.6640625" customWidth="1"/>
    <col min="13" max="13" width="13.77734375" customWidth="1"/>
    <col min="14" max="14" width="21.21875" customWidth="1"/>
    <col min="15" max="15" width="23" customWidth="1"/>
    <col min="16" max="16" width="15.33203125" customWidth="1"/>
    <col min="17" max="17" width="14.77734375" customWidth="1"/>
    <col min="23" max="23" width="18.77734375" customWidth="1"/>
  </cols>
  <sheetData>
    <row r="1" spans="1:18" ht="18" x14ac:dyDescent="0.3">
      <c r="A1" s="52" t="s">
        <v>359</v>
      </c>
    </row>
    <row r="2" spans="1:18" ht="18" x14ac:dyDescent="0.3">
      <c r="A2" s="52"/>
    </row>
    <row r="3" spans="1:18" ht="18" x14ac:dyDescent="0.3">
      <c r="A3" s="52"/>
      <c r="B3" s="53" t="s">
        <v>360</v>
      </c>
    </row>
    <row r="6" spans="1:18" x14ac:dyDescent="0.3">
      <c r="B6" s="133" t="s">
        <v>361</v>
      </c>
      <c r="C6" s="133"/>
      <c r="F6" s="90" t="s">
        <v>362</v>
      </c>
      <c r="I6" s="90" t="s">
        <v>256</v>
      </c>
      <c r="M6" s="7"/>
      <c r="O6" s="134"/>
      <c r="P6" s="134"/>
      <c r="R6" s="90" t="s">
        <v>363</v>
      </c>
    </row>
    <row r="7" spans="1:18" x14ac:dyDescent="0.3">
      <c r="L7" s="90" t="s">
        <v>364</v>
      </c>
      <c r="M7" s="90"/>
      <c r="N7" s="90" t="s">
        <v>365</v>
      </c>
      <c r="O7" s="90" t="s">
        <v>16</v>
      </c>
      <c r="P7" s="90" t="s">
        <v>366</v>
      </c>
    </row>
    <row r="8" spans="1:18" x14ac:dyDescent="0.3">
      <c r="I8" s="34">
        <v>44927</v>
      </c>
      <c r="J8" s="34"/>
      <c r="K8" s="34"/>
      <c r="L8" s="34"/>
      <c r="M8" s="34"/>
      <c r="N8" s="34"/>
      <c r="O8" s="34"/>
      <c r="P8" s="34"/>
    </row>
    <row r="9" spans="1:18" x14ac:dyDescent="0.3">
      <c r="I9" s="34">
        <v>44927</v>
      </c>
      <c r="J9" s="34"/>
      <c r="K9" s="34"/>
      <c r="L9" s="34"/>
      <c r="M9" s="34"/>
      <c r="N9" s="34"/>
      <c r="O9" s="34"/>
      <c r="P9" s="34"/>
    </row>
    <row r="10" spans="1:18" x14ac:dyDescent="0.3">
      <c r="I10" s="34">
        <v>44927</v>
      </c>
      <c r="J10" s="34"/>
      <c r="K10" s="34"/>
      <c r="L10" s="34"/>
      <c r="M10" s="34"/>
      <c r="N10" s="34"/>
      <c r="O10" s="34"/>
      <c r="P10" s="34"/>
    </row>
    <row r="11" spans="1:18" x14ac:dyDescent="0.3">
      <c r="I11" s="34">
        <v>44927</v>
      </c>
      <c r="J11" s="34"/>
      <c r="K11" s="34"/>
      <c r="L11" s="34"/>
      <c r="M11" s="34"/>
      <c r="N11" s="34"/>
      <c r="O11" s="34"/>
      <c r="P11" s="34"/>
    </row>
    <row r="12" spans="1:18" x14ac:dyDescent="0.3">
      <c r="I12" s="34">
        <v>44927</v>
      </c>
      <c r="J12" s="34"/>
      <c r="K12" s="34"/>
      <c r="L12" s="34"/>
      <c r="M12" s="34"/>
      <c r="N12" s="34"/>
      <c r="O12" s="34"/>
      <c r="P12" s="34"/>
    </row>
    <row r="13" spans="1:18" x14ac:dyDescent="0.3">
      <c r="I13" s="34">
        <v>44927</v>
      </c>
      <c r="J13" s="34"/>
      <c r="K13" s="34"/>
      <c r="L13" s="34"/>
      <c r="M13" s="34"/>
      <c r="N13" s="34"/>
      <c r="O13" s="34"/>
      <c r="P13" s="34"/>
    </row>
    <row r="14" spans="1:18" x14ac:dyDescent="0.3">
      <c r="I14" s="34">
        <v>44927</v>
      </c>
      <c r="J14" s="34"/>
      <c r="K14" s="34"/>
      <c r="L14" s="34"/>
      <c r="M14" s="34"/>
      <c r="N14" s="34"/>
      <c r="O14" s="34"/>
      <c r="P14" s="86"/>
    </row>
    <row r="15" spans="1:18" x14ac:dyDescent="0.3">
      <c r="I15" s="34">
        <v>44927</v>
      </c>
      <c r="J15" s="34"/>
      <c r="K15" s="34"/>
      <c r="L15" s="34"/>
      <c r="M15" s="34"/>
      <c r="N15" s="34"/>
      <c r="O15" s="34"/>
      <c r="P15" s="34"/>
    </row>
    <row r="16" spans="1:18" x14ac:dyDescent="0.3">
      <c r="I16" s="34">
        <v>44927</v>
      </c>
      <c r="J16" s="34"/>
      <c r="K16" s="34"/>
      <c r="L16" s="34"/>
      <c r="M16" s="34"/>
      <c r="N16" s="34"/>
      <c r="O16" s="34"/>
      <c r="P16" s="34"/>
    </row>
    <row r="17" spans="2:16" x14ac:dyDescent="0.3">
      <c r="I17" s="34">
        <v>44927</v>
      </c>
      <c r="J17" s="34"/>
      <c r="K17" s="34"/>
      <c r="L17" s="34"/>
      <c r="M17" s="34"/>
      <c r="N17" s="34"/>
      <c r="O17" s="34"/>
      <c r="P17" s="34"/>
    </row>
    <row r="18" spans="2:16" x14ac:dyDescent="0.3">
      <c r="I18" s="34">
        <v>44927</v>
      </c>
      <c r="J18" s="34"/>
      <c r="K18" s="34"/>
      <c r="L18" s="34"/>
      <c r="M18" s="34"/>
      <c r="N18" s="34"/>
      <c r="O18" s="34"/>
      <c r="P18" s="34"/>
    </row>
    <row r="19" spans="2:16" x14ac:dyDescent="0.3">
      <c r="I19" s="34">
        <v>44927</v>
      </c>
      <c r="J19" s="34"/>
      <c r="K19" s="34"/>
      <c r="L19" s="34"/>
      <c r="M19" s="34"/>
      <c r="N19" s="34"/>
      <c r="O19" s="34"/>
      <c r="P19" s="86"/>
    </row>
    <row r="20" spans="2:16" x14ac:dyDescent="0.3">
      <c r="I20" s="34">
        <v>44927</v>
      </c>
      <c r="J20" s="34"/>
      <c r="K20" s="34"/>
      <c r="L20" s="34"/>
      <c r="M20" s="34"/>
      <c r="N20" s="34"/>
      <c r="O20" s="34"/>
      <c r="P20" s="34"/>
    </row>
    <row r="21" spans="2:16" x14ac:dyDescent="0.3">
      <c r="I21" s="34">
        <v>44927</v>
      </c>
      <c r="J21" s="34"/>
      <c r="K21" s="34"/>
      <c r="L21" s="34"/>
      <c r="M21" s="34"/>
      <c r="N21" s="34"/>
      <c r="O21" s="34"/>
      <c r="P21" s="34"/>
    </row>
    <row r="22" spans="2:16" x14ac:dyDescent="0.3">
      <c r="H22" s="34"/>
      <c r="I22" s="34">
        <v>44927</v>
      </c>
      <c r="J22" s="34"/>
      <c r="K22" s="34"/>
      <c r="L22" s="34"/>
      <c r="M22" s="34"/>
      <c r="N22" s="34"/>
      <c r="O22" s="34"/>
      <c r="P22" s="34"/>
    </row>
    <row r="23" spans="2:16" x14ac:dyDescent="0.3">
      <c r="H23" s="34"/>
      <c r="I23" s="34"/>
      <c r="J23" s="34"/>
      <c r="K23" s="34"/>
      <c r="L23" s="34"/>
      <c r="M23" s="34"/>
    </row>
    <row r="24" spans="2:16" x14ac:dyDescent="0.3">
      <c r="H24" s="34"/>
      <c r="I24" s="34"/>
      <c r="J24" s="34"/>
      <c r="K24" s="34"/>
      <c r="L24" s="34"/>
      <c r="M24" s="34"/>
    </row>
    <row r="25" spans="2:16" x14ac:dyDescent="0.3">
      <c r="H25" s="34"/>
      <c r="I25" s="34"/>
      <c r="J25" s="34"/>
      <c r="K25" s="34"/>
      <c r="L25" s="34"/>
      <c r="M25" s="34"/>
    </row>
    <row r="26" spans="2:16" x14ac:dyDescent="0.3">
      <c r="B26" s="53" t="s">
        <v>628</v>
      </c>
      <c r="H26" s="34"/>
      <c r="I26" s="34"/>
      <c r="J26" s="34"/>
      <c r="K26" s="34"/>
      <c r="L26" s="34"/>
      <c r="M26" s="34"/>
    </row>
    <row r="30" spans="2:16" x14ac:dyDescent="0.3">
      <c r="B30" t="s">
        <v>367</v>
      </c>
      <c r="C30" t="s">
        <v>368</v>
      </c>
      <c r="D30" s="17" t="s">
        <v>369</v>
      </c>
      <c r="E30" s="17" t="s">
        <v>370</v>
      </c>
      <c r="F30" s="17" t="s">
        <v>371</v>
      </c>
      <c r="G30" s="17" t="s">
        <v>372</v>
      </c>
      <c r="H30" s="17" t="s">
        <v>373</v>
      </c>
      <c r="I30" s="17" t="s">
        <v>374</v>
      </c>
    </row>
    <row r="31" spans="2:16" x14ac:dyDescent="0.3">
      <c r="B31" t="s">
        <v>375</v>
      </c>
      <c r="C31" t="s">
        <v>316</v>
      </c>
      <c r="G31" s="55"/>
      <c r="H31" s="55"/>
    </row>
    <row r="32" spans="2:16" x14ac:dyDescent="0.3">
      <c r="B32" t="s">
        <v>376</v>
      </c>
      <c r="C32" t="s">
        <v>377</v>
      </c>
      <c r="G32" s="55"/>
      <c r="H32" s="55"/>
    </row>
    <row r="33" spans="2:11" x14ac:dyDescent="0.3">
      <c r="B33" t="s">
        <v>51</v>
      </c>
      <c r="C33" t="s">
        <v>378</v>
      </c>
      <c r="G33" s="55"/>
      <c r="H33" s="55"/>
    </row>
    <row r="34" spans="2:11" x14ac:dyDescent="0.3">
      <c r="B34" t="s">
        <v>379</v>
      </c>
      <c r="C34" t="s">
        <v>332</v>
      </c>
      <c r="G34" s="55"/>
      <c r="H34" s="55"/>
    </row>
    <row r="35" spans="2:11" x14ac:dyDescent="0.3">
      <c r="B35" t="s">
        <v>335</v>
      </c>
      <c r="C35" t="s">
        <v>336</v>
      </c>
      <c r="G35" s="55"/>
      <c r="H35" s="55"/>
    </row>
    <row r="36" spans="2:11" x14ac:dyDescent="0.3">
      <c r="B36" t="s">
        <v>380</v>
      </c>
      <c r="C36" t="s">
        <v>381</v>
      </c>
      <c r="G36" s="55"/>
      <c r="H36" s="55"/>
    </row>
    <row r="37" spans="2:11" x14ac:dyDescent="0.3">
      <c r="B37" t="s">
        <v>382</v>
      </c>
      <c r="C37" t="s">
        <v>383</v>
      </c>
      <c r="G37" s="55"/>
      <c r="H37" s="55"/>
    </row>
    <row r="38" spans="2:11" x14ac:dyDescent="0.3">
      <c r="B38" t="s">
        <v>384</v>
      </c>
      <c r="C38" t="s">
        <v>385</v>
      </c>
      <c r="G38" s="55"/>
      <c r="H38" s="55"/>
    </row>
    <row r="39" spans="2:11" x14ac:dyDescent="0.3">
      <c r="B39" t="s">
        <v>351</v>
      </c>
      <c r="C39" t="s">
        <v>386</v>
      </c>
      <c r="G39" s="55"/>
      <c r="H39" s="55"/>
    </row>
    <row r="40" spans="2:11" x14ac:dyDescent="0.3">
      <c r="B40" t="s">
        <v>351</v>
      </c>
      <c r="C40" t="s">
        <v>346</v>
      </c>
      <c r="G40" s="55"/>
      <c r="H40" s="55"/>
    </row>
    <row r="44" spans="2:11" x14ac:dyDescent="0.3">
      <c r="B44" s="7" t="s">
        <v>387</v>
      </c>
      <c r="C44" s="7" t="s">
        <v>388</v>
      </c>
      <c r="D44" s="7" t="s">
        <v>136</v>
      </c>
      <c r="E44" s="7" t="s">
        <v>137</v>
      </c>
      <c r="F44" s="7" t="s">
        <v>138</v>
      </c>
      <c r="G44" s="7" t="s">
        <v>389</v>
      </c>
      <c r="H44" s="54" t="s">
        <v>390</v>
      </c>
      <c r="K44" s="54" t="s">
        <v>391</v>
      </c>
    </row>
    <row r="45" spans="2:11" x14ac:dyDescent="0.3">
      <c r="B45" s="7">
        <v>1</v>
      </c>
      <c r="C45" s="7" t="s">
        <v>141</v>
      </c>
      <c r="D45" s="7" t="s">
        <v>392</v>
      </c>
      <c r="E45" s="7" t="s">
        <v>393</v>
      </c>
      <c r="F45" s="7" t="s">
        <v>394</v>
      </c>
      <c r="G45" s="7" t="s">
        <v>395</v>
      </c>
      <c r="H45" s="7"/>
    </row>
    <row r="46" spans="2:11" x14ac:dyDescent="0.3">
      <c r="B46" s="7">
        <v>2</v>
      </c>
      <c r="C46" s="7" t="s">
        <v>147</v>
      </c>
      <c r="D46" s="7" t="s">
        <v>396</v>
      </c>
      <c r="E46" s="7" t="s">
        <v>397</v>
      </c>
      <c r="F46" s="7" t="s">
        <v>394</v>
      </c>
      <c r="G46" s="7" t="s">
        <v>398</v>
      </c>
      <c r="H46" s="7"/>
    </row>
    <row r="47" spans="2:11" x14ac:dyDescent="0.3">
      <c r="B47" s="7">
        <v>3</v>
      </c>
      <c r="C47" s="7" t="s">
        <v>153</v>
      </c>
      <c r="D47" s="7" t="s">
        <v>399</v>
      </c>
      <c r="E47" s="7" t="s">
        <v>400</v>
      </c>
      <c r="F47" s="7" t="s">
        <v>401</v>
      </c>
      <c r="G47" s="7" t="s">
        <v>402</v>
      </c>
      <c r="H47" s="7"/>
    </row>
    <row r="48" spans="2:11" x14ac:dyDescent="0.3">
      <c r="B48" s="7">
        <v>4</v>
      </c>
      <c r="C48" s="7" t="s">
        <v>158</v>
      </c>
      <c r="D48" s="7" t="s">
        <v>403</v>
      </c>
      <c r="E48" s="7" t="s">
        <v>404</v>
      </c>
      <c r="F48" s="7" t="s">
        <v>401</v>
      </c>
      <c r="G48" s="7" t="s">
        <v>395</v>
      </c>
      <c r="H48" s="7"/>
      <c r="K48" s="54" t="s">
        <v>390</v>
      </c>
    </row>
    <row r="49" spans="2:15" x14ac:dyDescent="0.3">
      <c r="B49" s="7">
        <v>5</v>
      </c>
      <c r="C49" s="7" t="s">
        <v>164</v>
      </c>
      <c r="D49" s="7" t="s">
        <v>405</v>
      </c>
      <c r="E49" s="7" t="s">
        <v>406</v>
      </c>
      <c r="F49" s="7" t="s">
        <v>407</v>
      </c>
      <c r="G49" s="7" t="s">
        <v>398</v>
      </c>
      <c r="H49" s="7"/>
    </row>
    <row r="50" spans="2:15" x14ac:dyDescent="0.3">
      <c r="B50" s="7">
        <v>6</v>
      </c>
      <c r="C50" s="7" t="s">
        <v>167</v>
      </c>
      <c r="D50" s="7" t="s">
        <v>396</v>
      </c>
      <c r="E50" s="7" t="s">
        <v>408</v>
      </c>
      <c r="F50" s="7" t="s">
        <v>409</v>
      </c>
      <c r="G50" s="7" t="s">
        <v>402</v>
      </c>
      <c r="H50" s="7"/>
    </row>
    <row r="51" spans="2:15" x14ac:dyDescent="0.3">
      <c r="B51" s="7">
        <v>7</v>
      </c>
      <c r="C51" s="7" t="s">
        <v>171</v>
      </c>
      <c r="D51" s="7" t="s">
        <v>410</v>
      </c>
      <c r="E51" s="7" t="s">
        <v>393</v>
      </c>
      <c r="F51" s="7" t="s">
        <v>394</v>
      </c>
      <c r="G51" s="7" t="s">
        <v>402</v>
      </c>
      <c r="H51" s="7"/>
    </row>
    <row r="52" spans="2:15" x14ac:dyDescent="0.3">
      <c r="B52" s="7">
        <v>8</v>
      </c>
      <c r="C52" s="7" t="s">
        <v>175</v>
      </c>
      <c r="D52" s="7" t="s">
        <v>411</v>
      </c>
      <c r="E52" s="7" t="s">
        <v>412</v>
      </c>
      <c r="F52" s="7" t="s">
        <v>407</v>
      </c>
      <c r="G52" s="7" t="s">
        <v>402</v>
      </c>
      <c r="H52" s="7"/>
    </row>
    <row r="53" spans="2:15" x14ac:dyDescent="0.3">
      <c r="B53" s="7">
        <v>9</v>
      </c>
      <c r="C53" s="7" t="s">
        <v>178</v>
      </c>
      <c r="D53" s="7" t="s">
        <v>413</v>
      </c>
      <c r="E53" s="7" t="s">
        <v>412</v>
      </c>
      <c r="F53" s="7" t="s">
        <v>407</v>
      </c>
      <c r="G53" s="7" t="s">
        <v>398</v>
      </c>
      <c r="H53" s="7"/>
    </row>
    <row r="54" spans="2:15" x14ac:dyDescent="0.3">
      <c r="B54" s="7">
        <v>10</v>
      </c>
      <c r="C54" s="7" t="s">
        <v>180</v>
      </c>
      <c r="D54" s="7" t="s">
        <v>414</v>
      </c>
      <c r="E54" s="7" t="s">
        <v>393</v>
      </c>
      <c r="F54" s="7" t="s">
        <v>394</v>
      </c>
      <c r="G54" s="7" t="s">
        <v>398</v>
      </c>
      <c r="H54" s="7"/>
    </row>
    <row r="57" spans="2:15" x14ac:dyDescent="0.3">
      <c r="B57" s="53" t="s">
        <v>415</v>
      </c>
    </row>
    <row r="62" spans="2:15" x14ac:dyDescent="0.3">
      <c r="B62" s="20" t="s">
        <v>311</v>
      </c>
      <c r="D62" s="7"/>
      <c r="E62" s="7"/>
      <c r="F62" s="7"/>
      <c r="I62" s="20" t="s">
        <v>388</v>
      </c>
      <c r="N62" t="s">
        <v>600</v>
      </c>
      <c r="O62" t="s">
        <v>430</v>
      </c>
    </row>
    <row r="63" spans="2:15" x14ac:dyDescent="0.3">
      <c r="B63" t="s">
        <v>416</v>
      </c>
      <c r="D63" s="7"/>
      <c r="E63" s="7"/>
      <c r="F63" s="7"/>
      <c r="G63" s="7"/>
      <c r="I63" t="s">
        <v>600</v>
      </c>
      <c r="N63" t="s">
        <v>601</v>
      </c>
      <c r="O63" t="s">
        <v>431</v>
      </c>
    </row>
    <row r="64" spans="2:15" x14ac:dyDescent="0.3">
      <c r="B64" t="s">
        <v>417</v>
      </c>
      <c r="D64" s="7"/>
      <c r="E64" s="7"/>
      <c r="F64" s="7"/>
      <c r="G64" s="7"/>
      <c r="I64" t="s">
        <v>601</v>
      </c>
      <c r="N64" t="s">
        <v>606</v>
      </c>
      <c r="O64" t="s">
        <v>435</v>
      </c>
    </row>
    <row r="65" spans="2:15" x14ac:dyDescent="0.3">
      <c r="B65" t="s">
        <v>418</v>
      </c>
      <c r="D65" s="7"/>
      <c r="E65" s="7"/>
      <c r="F65" s="7"/>
      <c r="G65" s="7"/>
      <c r="I65" t="s">
        <v>602</v>
      </c>
      <c r="N65" t="s">
        <v>603</v>
      </c>
      <c r="O65" t="s">
        <v>432</v>
      </c>
    </row>
    <row r="66" spans="2:15" x14ac:dyDescent="0.3">
      <c r="B66" t="s">
        <v>419</v>
      </c>
      <c r="D66" s="7"/>
      <c r="E66" s="7"/>
      <c r="F66" s="7"/>
      <c r="G66" s="7"/>
      <c r="I66" t="s">
        <v>603</v>
      </c>
      <c r="N66" t="s">
        <v>604</v>
      </c>
      <c r="O66" t="s">
        <v>433</v>
      </c>
    </row>
    <row r="67" spans="2:15" x14ac:dyDescent="0.3">
      <c r="B67" t="s">
        <v>420</v>
      </c>
      <c r="D67" s="7"/>
      <c r="E67" s="7"/>
      <c r="F67" s="7"/>
      <c r="G67" s="7"/>
      <c r="I67" t="s">
        <v>604</v>
      </c>
      <c r="N67" t="s">
        <v>605</v>
      </c>
      <c r="O67" t="s">
        <v>434</v>
      </c>
    </row>
    <row r="68" spans="2:15" x14ac:dyDescent="0.3">
      <c r="B68" t="s">
        <v>421</v>
      </c>
      <c r="D68" s="7"/>
      <c r="E68" s="7"/>
      <c r="F68" s="7"/>
      <c r="G68" s="7"/>
      <c r="I68" t="s">
        <v>605</v>
      </c>
    </row>
    <row r="74" spans="2:15" x14ac:dyDescent="0.3">
      <c r="B74" s="20" t="s">
        <v>311</v>
      </c>
    </row>
    <row r="75" spans="2:15" x14ac:dyDescent="0.3">
      <c r="B75" t="s">
        <v>422</v>
      </c>
    </row>
    <row r="76" spans="2:15" x14ac:dyDescent="0.3">
      <c r="B76" t="s">
        <v>423</v>
      </c>
    </row>
    <row r="77" spans="2:15" x14ac:dyDescent="0.3">
      <c r="B77" t="s">
        <v>424</v>
      </c>
    </row>
    <row r="78" spans="2:15" x14ac:dyDescent="0.3">
      <c r="B78" t="s">
        <v>425</v>
      </c>
    </row>
    <row r="79" spans="2:15" x14ac:dyDescent="0.3">
      <c r="B79" t="s">
        <v>426</v>
      </c>
    </row>
    <row r="80" spans="2:15" x14ac:dyDescent="0.3">
      <c r="B80" t="s">
        <v>427</v>
      </c>
    </row>
    <row r="81" spans="2:2" x14ac:dyDescent="0.3">
      <c r="B81" t="s">
        <v>428</v>
      </c>
    </row>
  </sheetData>
  <mergeCells count="2">
    <mergeCell ref="B6:C6"/>
    <mergeCell ref="O6:P6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D707-A0EF-4C10-8E27-178EEC04EDF1}">
  <sheetPr codeName="Sheet11"/>
  <dimension ref="A1:G14"/>
  <sheetViews>
    <sheetView workbookViewId="0">
      <selection activeCell="G20" sqref="G20"/>
    </sheetView>
  </sheetViews>
  <sheetFormatPr defaultRowHeight="14.4" x14ac:dyDescent="0.3"/>
  <cols>
    <col min="2" max="2" width="13.21875" customWidth="1"/>
    <col min="3" max="3" width="16.44140625" customWidth="1"/>
    <col min="4" max="4" width="23.88671875" customWidth="1"/>
    <col min="5" max="5" width="18" customWidth="1"/>
    <col min="7" max="7" width="21.77734375" customWidth="1"/>
    <col min="8" max="8" width="50.44140625" customWidth="1"/>
  </cols>
  <sheetData>
    <row r="1" spans="1:7" x14ac:dyDescent="0.3">
      <c r="A1" s="17" t="s">
        <v>486</v>
      </c>
      <c r="B1" s="17"/>
      <c r="C1" s="17"/>
    </row>
    <row r="4" spans="1:7" x14ac:dyDescent="0.3">
      <c r="B4" s="58" t="s">
        <v>487</v>
      </c>
      <c r="C4" s="58" t="s">
        <v>311</v>
      </c>
    </row>
    <row r="5" spans="1:7" x14ac:dyDescent="0.3">
      <c r="B5" t="s">
        <v>488</v>
      </c>
      <c r="C5" t="s">
        <v>489</v>
      </c>
      <c r="E5" t="e">
        <f ca="1">_xlfn.FORMULATEXT(D5)</f>
        <v>#N/A</v>
      </c>
    </row>
    <row r="6" spans="1:7" x14ac:dyDescent="0.3">
      <c r="B6" t="s">
        <v>490</v>
      </c>
      <c r="C6">
        <v>2012</v>
      </c>
      <c r="E6" t="e">
        <f t="shared" ref="E6:E14" ca="1" si="0">_xlfn.FORMULATEXT(D6)</f>
        <v>#N/A</v>
      </c>
    </row>
    <row r="7" spans="1:7" x14ac:dyDescent="0.3">
      <c r="B7" t="s">
        <v>491</v>
      </c>
      <c r="C7">
        <v>1989</v>
      </c>
      <c r="E7" t="e">
        <f t="shared" ca="1" si="0"/>
        <v>#N/A</v>
      </c>
      <c r="G7" s="7"/>
    </row>
    <row r="8" spans="1:7" x14ac:dyDescent="0.3">
      <c r="B8" t="s">
        <v>492</v>
      </c>
      <c r="C8">
        <v>12</v>
      </c>
      <c r="E8" t="e">
        <f t="shared" ca="1" si="0"/>
        <v>#N/A</v>
      </c>
    </row>
    <row r="9" spans="1:7" x14ac:dyDescent="0.3">
      <c r="B9" t="s">
        <v>493</v>
      </c>
      <c r="C9">
        <v>5</v>
      </c>
      <c r="E9" t="e">
        <f t="shared" ca="1" si="0"/>
        <v>#N/A</v>
      </c>
    </row>
    <row r="10" spans="1:7" x14ac:dyDescent="0.3">
      <c r="B10" s="34" t="s">
        <v>494</v>
      </c>
      <c r="C10" s="34">
        <f ca="1">TODAY()</f>
        <v>46269</v>
      </c>
      <c r="E10" t="e">
        <f t="shared" ca="1" si="0"/>
        <v>#N/A</v>
      </c>
    </row>
    <row r="11" spans="1:7" x14ac:dyDescent="0.3">
      <c r="B11" t="s">
        <v>495</v>
      </c>
      <c r="C11" t="b">
        <v>1</v>
      </c>
      <c r="E11" t="e">
        <f t="shared" ca="1" si="0"/>
        <v>#N/A</v>
      </c>
    </row>
    <row r="12" spans="1:7" x14ac:dyDescent="0.3">
      <c r="B12" t="s">
        <v>496</v>
      </c>
      <c r="E12" t="e">
        <f t="shared" ca="1" si="0"/>
        <v>#N/A</v>
      </c>
    </row>
    <row r="13" spans="1:7" x14ac:dyDescent="0.3">
      <c r="B13" t="s">
        <v>497</v>
      </c>
      <c r="C13" t="e">
        <v>#N/A</v>
      </c>
      <c r="E13" t="e">
        <f t="shared" ca="1" si="0"/>
        <v>#N/A</v>
      </c>
    </row>
    <row r="14" spans="1:7" x14ac:dyDescent="0.3">
      <c r="C14" t="s">
        <v>498</v>
      </c>
      <c r="E14" t="e">
        <f t="shared" ca="1" si="0"/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6506-6F0D-4A34-8344-8B7DDF84C5BD}">
  <sheetPr codeName="Sheet12"/>
  <dimension ref="B1:AA100"/>
  <sheetViews>
    <sheetView topLeftCell="F1" zoomScale="94" zoomScaleNormal="130" workbookViewId="0">
      <selection activeCell="E15" sqref="E15"/>
    </sheetView>
  </sheetViews>
  <sheetFormatPr defaultRowHeight="14.4" x14ac:dyDescent="0.3"/>
  <cols>
    <col min="2" max="2" width="30.77734375" customWidth="1"/>
    <col min="3" max="3" width="15.21875" customWidth="1"/>
    <col min="4" max="4" width="19.6640625" customWidth="1"/>
    <col min="5" max="5" width="19.88671875" customWidth="1"/>
    <col min="6" max="6" width="23.6640625" customWidth="1"/>
    <col min="7" max="7" width="16.109375" customWidth="1"/>
    <col min="8" max="8" width="13.5546875" customWidth="1"/>
    <col min="9" max="9" width="16.44140625" customWidth="1"/>
    <col min="10" max="10" width="16.6640625" customWidth="1"/>
    <col min="11" max="11" width="19.77734375" customWidth="1"/>
    <col min="12" max="12" width="16.88671875" customWidth="1"/>
    <col min="13" max="13" width="9.109375" customWidth="1"/>
    <col min="14" max="14" width="11.6640625" customWidth="1"/>
    <col min="15" max="15" width="17.77734375" customWidth="1"/>
    <col min="17" max="17" width="12.6640625" customWidth="1"/>
    <col min="18" max="18" width="12.5546875" customWidth="1"/>
    <col min="20" max="20" width="10.44140625" customWidth="1"/>
    <col min="21" max="21" width="19.33203125" customWidth="1"/>
    <col min="24" max="24" width="15.33203125" customWidth="1"/>
    <col min="26" max="26" width="11.5546875" customWidth="1"/>
    <col min="27" max="27" width="14.77734375" customWidth="1"/>
  </cols>
  <sheetData>
    <row r="1" spans="2:15" ht="25.8" x14ac:dyDescent="0.5">
      <c r="B1" s="57" t="s">
        <v>436</v>
      </c>
      <c r="C1" s="57"/>
      <c r="D1" s="33"/>
      <c r="E1" s="33"/>
    </row>
    <row r="4" spans="2:15" x14ac:dyDescent="0.3">
      <c r="B4" s="53" t="s">
        <v>437</v>
      </c>
    </row>
    <row r="6" spans="2:15" x14ac:dyDescent="0.3">
      <c r="D6" s="59" t="s">
        <v>438</v>
      </c>
      <c r="E6" s="9"/>
      <c r="F6" s="9"/>
      <c r="G6" s="9"/>
    </row>
    <row r="8" spans="2:15" x14ac:dyDescent="0.3">
      <c r="C8" s="7" t="s">
        <v>138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2:15" x14ac:dyDescent="0.3">
      <c r="C9" s="7" t="s">
        <v>439</v>
      </c>
    </row>
    <row r="10" spans="2:15" x14ac:dyDescent="0.3">
      <c r="C10" s="7" t="s">
        <v>440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2:15" x14ac:dyDescent="0.3">
      <c r="C11" s="7" t="s">
        <v>441</v>
      </c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2:15" x14ac:dyDescent="0.3">
      <c r="C12" s="7">
        <v>455</v>
      </c>
      <c r="E12" s="7"/>
    </row>
    <row r="13" spans="2:15" x14ac:dyDescent="0.3">
      <c r="C13" s="7" t="s">
        <v>442</v>
      </c>
      <c r="E13" s="7"/>
    </row>
    <row r="14" spans="2:15" x14ac:dyDescent="0.3">
      <c r="C14" s="7" t="s">
        <v>443</v>
      </c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2:15" x14ac:dyDescent="0.3">
      <c r="C15" s="7" t="s">
        <v>444</v>
      </c>
      <c r="E15" s="7"/>
    </row>
    <row r="16" spans="2:15" x14ac:dyDescent="0.3">
      <c r="C16" s="7" t="s">
        <v>445</v>
      </c>
      <c r="E16" s="7"/>
    </row>
    <row r="17" spans="3:14" x14ac:dyDescent="0.3">
      <c r="C17" s="7" t="s">
        <v>446</v>
      </c>
      <c r="E17" s="7"/>
    </row>
    <row r="18" spans="3:14" x14ac:dyDescent="0.3">
      <c r="E18" s="7"/>
    </row>
    <row r="19" spans="3:14" x14ac:dyDescent="0.3">
      <c r="D19" s="59" t="s">
        <v>447</v>
      </c>
      <c r="E19" s="59"/>
      <c r="F19" s="9"/>
      <c r="G19" s="9"/>
      <c r="H19" s="7"/>
      <c r="I19" s="7"/>
      <c r="J19" s="7"/>
      <c r="K19" s="7"/>
      <c r="L19" s="7"/>
      <c r="M19" s="7"/>
      <c r="N19" s="7"/>
    </row>
    <row r="21" spans="3:14" x14ac:dyDescent="0.3">
      <c r="C21" s="7" t="s">
        <v>138</v>
      </c>
      <c r="D21" s="7" t="s">
        <v>439</v>
      </c>
      <c r="E21" s="7" t="s">
        <v>440</v>
      </c>
      <c r="F21" s="7" t="s">
        <v>441</v>
      </c>
      <c r="G21" s="7">
        <v>455</v>
      </c>
      <c r="H21" s="7" t="s">
        <v>442</v>
      </c>
      <c r="I21" s="7" t="s">
        <v>443</v>
      </c>
      <c r="J21" s="7" t="s">
        <v>444</v>
      </c>
      <c r="K21" s="7" t="s">
        <v>445</v>
      </c>
      <c r="L21" s="7" t="s">
        <v>446</v>
      </c>
    </row>
    <row r="22" spans="3:14" x14ac:dyDescent="0.3">
      <c r="C22" s="7"/>
    </row>
    <row r="23" spans="3:14" x14ac:dyDescent="0.3">
      <c r="C23" s="7"/>
      <c r="D23" s="7"/>
    </row>
    <row r="24" spans="3:14" x14ac:dyDescent="0.3">
      <c r="C24" s="7"/>
      <c r="D24" s="7"/>
      <c r="E24" s="7"/>
      <c r="G24" s="7"/>
    </row>
    <row r="25" spans="3:14" x14ac:dyDescent="0.3">
      <c r="C25" s="7"/>
      <c r="D25" s="7"/>
      <c r="E25" s="7"/>
      <c r="G25" s="7"/>
    </row>
    <row r="26" spans="3:14" x14ac:dyDescent="0.3">
      <c r="C26" s="7"/>
      <c r="D26" s="7"/>
      <c r="E26" s="7"/>
      <c r="G26" s="7"/>
    </row>
    <row r="27" spans="3:14" x14ac:dyDescent="0.3">
      <c r="C27" s="7"/>
      <c r="D27" s="7"/>
      <c r="E27" s="7"/>
      <c r="G27" s="7"/>
    </row>
    <row r="28" spans="3:14" x14ac:dyDescent="0.3">
      <c r="C28" s="7"/>
      <c r="D28" s="7"/>
      <c r="E28" s="7"/>
      <c r="G28" s="7"/>
    </row>
    <row r="29" spans="3:14" x14ac:dyDescent="0.3">
      <c r="C29" s="7"/>
      <c r="D29" s="7"/>
      <c r="E29" s="7"/>
      <c r="G29" s="7"/>
    </row>
    <row r="30" spans="3:14" x14ac:dyDescent="0.3">
      <c r="C30" s="7"/>
      <c r="D30" s="7"/>
      <c r="E30" s="7"/>
      <c r="G30" s="7"/>
    </row>
    <row r="31" spans="3:14" x14ac:dyDescent="0.3">
      <c r="C31" s="7"/>
      <c r="D31" s="7"/>
      <c r="E31" s="7"/>
      <c r="G31" s="7"/>
    </row>
    <row r="32" spans="3:14" x14ac:dyDescent="0.3">
      <c r="C32" s="7"/>
      <c r="D32" s="7"/>
      <c r="E32" s="7"/>
      <c r="G32" s="7"/>
    </row>
    <row r="33" spans="2:7" x14ac:dyDescent="0.3">
      <c r="C33" s="7"/>
      <c r="E33" s="7"/>
      <c r="G33" s="7"/>
    </row>
    <row r="36" spans="2:7" x14ac:dyDescent="0.3">
      <c r="B36" s="53" t="s">
        <v>448</v>
      </c>
      <c r="C36" s="7"/>
    </row>
    <row r="38" spans="2:7" x14ac:dyDescent="0.3">
      <c r="B38" s="7" t="s">
        <v>138</v>
      </c>
      <c r="D38" s="7"/>
      <c r="E38" s="7"/>
      <c r="F38" s="60"/>
    </row>
    <row r="39" spans="2:7" x14ac:dyDescent="0.3">
      <c r="B39" s="7" t="s">
        <v>449</v>
      </c>
      <c r="D39" s="7"/>
      <c r="E39" s="7"/>
      <c r="F39" s="7"/>
    </row>
    <row r="40" spans="2:7" x14ac:dyDescent="0.3">
      <c r="B40" s="7" t="s">
        <v>450</v>
      </c>
      <c r="D40" s="7"/>
      <c r="E40" s="7"/>
      <c r="F40" s="7"/>
    </row>
    <row r="41" spans="2:7" x14ac:dyDescent="0.3">
      <c r="B41" s="7" t="s">
        <v>441</v>
      </c>
      <c r="D41" s="7"/>
      <c r="E41" s="7"/>
      <c r="F41" s="7"/>
    </row>
    <row r="42" spans="2:7" x14ac:dyDescent="0.3">
      <c r="B42" s="7" t="s">
        <v>48</v>
      </c>
      <c r="D42" s="7"/>
      <c r="E42" s="7"/>
      <c r="F42" s="7"/>
    </row>
    <row r="43" spans="2:7" x14ac:dyDescent="0.3">
      <c r="B43" s="7" t="s">
        <v>489</v>
      </c>
      <c r="D43" s="7"/>
      <c r="E43" s="7"/>
      <c r="F43" s="7"/>
    </row>
    <row r="44" spans="2:7" x14ac:dyDescent="0.3">
      <c r="B44" s="7" t="s">
        <v>441</v>
      </c>
      <c r="D44" s="7"/>
      <c r="E44" s="7"/>
      <c r="F44" s="7"/>
    </row>
    <row r="45" spans="2:7" x14ac:dyDescent="0.3">
      <c r="B45" s="7" t="s">
        <v>444</v>
      </c>
      <c r="D45" s="7"/>
      <c r="E45" s="7"/>
      <c r="F45" s="7"/>
    </row>
    <row r="46" spans="2:7" x14ac:dyDescent="0.3">
      <c r="B46" s="7" t="s">
        <v>445</v>
      </c>
      <c r="D46" s="7"/>
      <c r="E46" s="7"/>
      <c r="F46" s="7"/>
    </row>
    <row r="47" spans="2:7" x14ac:dyDescent="0.3">
      <c r="B47" s="7" t="s">
        <v>446</v>
      </c>
      <c r="D47" s="7"/>
      <c r="E47" s="7"/>
      <c r="F47" s="7"/>
    </row>
    <row r="49" spans="2:14" s="10" customFormat="1" x14ac:dyDescent="0.3"/>
    <row r="51" spans="2:14" x14ac:dyDescent="0.3">
      <c r="B51" s="53" t="s">
        <v>452</v>
      </c>
    </row>
    <row r="54" spans="2:14" x14ac:dyDescent="0.3">
      <c r="B54" s="7" t="s">
        <v>138</v>
      </c>
      <c r="C54" t="s">
        <v>453</v>
      </c>
      <c r="E54" s="7"/>
      <c r="H54" s="7"/>
      <c r="K54" s="7"/>
      <c r="N54" s="7"/>
    </row>
    <row r="55" spans="2:14" x14ac:dyDescent="0.3">
      <c r="B55" s="7" t="s">
        <v>439</v>
      </c>
      <c r="C55">
        <v>50</v>
      </c>
      <c r="E55" s="7"/>
      <c r="H55" s="7"/>
      <c r="K55" s="7"/>
      <c r="N55" s="7"/>
    </row>
    <row r="56" spans="2:14" x14ac:dyDescent="0.3">
      <c r="B56" s="7" t="s">
        <v>450</v>
      </c>
      <c r="C56">
        <v>89</v>
      </c>
      <c r="E56" s="7"/>
      <c r="H56" s="7"/>
      <c r="K56" s="7"/>
      <c r="L56" s="19"/>
      <c r="N56" s="7"/>
    </row>
    <row r="57" spans="2:14" x14ac:dyDescent="0.3">
      <c r="B57" s="7" t="s">
        <v>441</v>
      </c>
      <c r="E57" s="7"/>
      <c r="H57" s="7"/>
      <c r="I57" s="17"/>
      <c r="K57" s="7"/>
      <c r="L57" s="19"/>
      <c r="N57" s="7"/>
    </row>
    <row r="58" spans="2:14" x14ac:dyDescent="0.3">
      <c r="B58" s="7" t="s">
        <v>443</v>
      </c>
      <c r="C58">
        <v>60</v>
      </c>
      <c r="E58" s="7"/>
      <c r="H58" s="7"/>
      <c r="K58" s="7"/>
      <c r="L58" s="19"/>
      <c r="N58" s="7"/>
    </row>
    <row r="59" spans="2:14" x14ac:dyDescent="0.3">
      <c r="B59" s="7" t="s">
        <v>499</v>
      </c>
      <c r="C59">
        <v>40</v>
      </c>
      <c r="E59" s="7"/>
      <c r="H59" s="7"/>
      <c r="K59" s="7"/>
      <c r="L59" s="19"/>
      <c r="N59" s="7"/>
    </row>
    <row r="60" spans="2:14" x14ac:dyDescent="0.3">
      <c r="B60" s="7" t="s">
        <v>443</v>
      </c>
      <c r="C60">
        <v>20</v>
      </c>
      <c r="E60" s="7"/>
      <c r="H60" s="7"/>
      <c r="K60" s="7"/>
      <c r="L60" s="19"/>
      <c r="N60" s="7"/>
    </row>
    <row r="61" spans="2:14" x14ac:dyDescent="0.3">
      <c r="B61" s="7" t="s">
        <v>444</v>
      </c>
      <c r="E61" s="7"/>
      <c r="H61" s="7"/>
      <c r="I61" s="17"/>
      <c r="K61" s="7"/>
      <c r="L61" s="19"/>
      <c r="N61" s="7"/>
    </row>
    <row r="62" spans="2:14" x14ac:dyDescent="0.3">
      <c r="B62" s="7" t="s">
        <v>445</v>
      </c>
      <c r="C62">
        <v>70</v>
      </c>
      <c r="E62" s="7"/>
      <c r="H62" s="7"/>
      <c r="K62" s="7"/>
      <c r="N62" s="7"/>
    </row>
    <row r="63" spans="2:14" x14ac:dyDescent="0.3">
      <c r="B63" s="7" t="s">
        <v>446</v>
      </c>
      <c r="C63">
        <v>500</v>
      </c>
      <c r="E63" s="7"/>
      <c r="H63" s="7"/>
      <c r="K63" s="7"/>
      <c r="N63" s="7"/>
    </row>
    <row r="66" spans="2:14" x14ac:dyDescent="0.3">
      <c r="B66" s="61" t="s">
        <v>454</v>
      </c>
    </row>
    <row r="69" spans="2:14" x14ac:dyDescent="0.3">
      <c r="B69" s="7" t="s">
        <v>311</v>
      </c>
      <c r="C69" s="7" t="s">
        <v>455</v>
      </c>
      <c r="D69" s="7" t="s">
        <v>456</v>
      </c>
      <c r="E69" s="7" t="s">
        <v>457</v>
      </c>
      <c r="F69" s="7" t="s">
        <v>458</v>
      </c>
      <c r="G69" s="7" t="s">
        <v>311</v>
      </c>
      <c r="H69" s="7" t="s">
        <v>311</v>
      </c>
      <c r="K69" s="17" t="s">
        <v>459</v>
      </c>
      <c r="L69" s="54">
        <v>10</v>
      </c>
      <c r="M69" s="17">
        <v>-1</v>
      </c>
      <c r="N69" s="17"/>
    </row>
    <row r="70" spans="2:14" x14ac:dyDescent="0.3">
      <c r="B70" s="87">
        <v>60</v>
      </c>
      <c r="C70" s="54"/>
      <c r="D70" s="54"/>
      <c r="E70" s="54"/>
      <c r="F70" s="54"/>
      <c r="G70" s="17"/>
      <c r="H70" s="17"/>
      <c r="L70" s="7"/>
    </row>
    <row r="71" spans="2:14" x14ac:dyDescent="0.3">
      <c r="B71" s="87">
        <v>65</v>
      </c>
      <c r="C71" s="54"/>
      <c r="D71" s="54"/>
      <c r="E71" s="54"/>
      <c r="F71" s="54"/>
      <c r="G71" s="17"/>
      <c r="H71" s="17"/>
      <c r="L71" s="7"/>
    </row>
    <row r="72" spans="2:14" x14ac:dyDescent="0.3">
      <c r="B72" s="87">
        <v>43</v>
      </c>
      <c r="C72" s="54"/>
      <c r="D72" s="54"/>
      <c r="E72" s="54"/>
      <c r="F72" s="54"/>
      <c r="G72" s="17"/>
      <c r="H72" s="17"/>
      <c r="L72" s="7"/>
    </row>
    <row r="73" spans="2:14" x14ac:dyDescent="0.3">
      <c r="B73" s="87">
        <v>76</v>
      </c>
      <c r="C73" s="54"/>
      <c r="D73" s="54"/>
      <c r="E73" s="54"/>
      <c r="F73" s="54"/>
      <c r="G73" s="17"/>
      <c r="H73" s="17"/>
      <c r="L73" s="7"/>
    </row>
    <row r="74" spans="2:14" x14ac:dyDescent="0.3">
      <c r="B74" s="87">
        <v>99</v>
      </c>
      <c r="C74" s="54"/>
      <c r="D74" s="54"/>
      <c r="E74" s="54"/>
      <c r="F74" s="54"/>
      <c r="G74" s="17"/>
      <c r="H74" s="17"/>
      <c r="L74" s="7"/>
    </row>
    <row r="75" spans="2:14" x14ac:dyDescent="0.3">
      <c r="B75" s="87">
        <v>33</v>
      </c>
      <c r="C75" s="54"/>
      <c r="D75" s="54"/>
      <c r="E75" s="54"/>
      <c r="F75" s="54"/>
      <c r="G75" s="17"/>
      <c r="H75" s="17"/>
      <c r="L75" s="7"/>
    </row>
    <row r="76" spans="2:14" x14ac:dyDescent="0.3">
      <c r="B76" s="87">
        <v>55</v>
      </c>
      <c r="C76" s="54"/>
      <c r="D76" s="54"/>
      <c r="E76" s="54"/>
      <c r="F76" s="54"/>
      <c r="G76" s="17"/>
      <c r="H76" s="17"/>
    </row>
    <row r="81" spans="2:27" ht="21" x14ac:dyDescent="0.4">
      <c r="B81" s="62" t="s">
        <v>460</v>
      </c>
      <c r="C81" s="62"/>
      <c r="D81" s="33"/>
      <c r="E81" s="16" t="s">
        <v>461</v>
      </c>
    </row>
    <row r="82" spans="2:27" x14ac:dyDescent="0.3">
      <c r="E82" t="s">
        <v>462</v>
      </c>
    </row>
    <row r="85" spans="2:27" x14ac:dyDescent="0.3">
      <c r="B85" s="7" t="s">
        <v>463</v>
      </c>
      <c r="C85" s="7" t="s">
        <v>464</v>
      </c>
      <c r="D85" s="7" t="s">
        <v>465</v>
      </c>
      <c r="E85" s="7" t="s">
        <v>466</v>
      </c>
      <c r="F85" s="7" t="s">
        <v>467</v>
      </c>
      <c r="I85" s="7" t="s">
        <v>311</v>
      </c>
      <c r="J85" s="7" t="s">
        <v>468</v>
      </c>
      <c r="K85" s="7" t="s">
        <v>469</v>
      </c>
      <c r="L85" s="7" t="s">
        <v>470</v>
      </c>
      <c r="N85" t="s">
        <v>311</v>
      </c>
      <c r="O85" t="s">
        <v>471</v>
      </c>
      <c r="Q85" t="s">
        <v>471</v>
      </c>
      <c r="R85" t="s">
        <v>472</v>
      </c>
      <c r="T85" t="s">
        <v>311</v>
      </c>
      <c r="U85" t="s">
        <v>473</v>
      </c>
      <c r="W85" s="7" t="s">
        <v>311</v>
      </c>
      <c r="X85" s="7" t="s">
        <v>474</v>
      </c>
      <c r="Z85" t="s">
        <v>311</v>
      </c>
      <c r="AA85" t="s">
        <v>475</v>
      </c>
    </row>
    <row r="86" spans="2:27" x14ac:dyDescent="0.3">
      <c r="B86" s="7">
        <v>5.45</v>
      </c>
      <c r="C86" s="7"/>
      <c r="D86" s="7"/>
      <c r="E86" s="7"/>
      <c r="F86" s="7"/>
      <c r="I86" s="7">
        <v>4</v>
      </c>
      <c r="J86" s="7">
        <v>2</v>
      </c>
      <c r="K86" s="7"/>
      <c r="L86" s="7"/>
      <c r="N86">
        <v>4</v>
      </c>
      <c r="Q86" t="str">
        <f>ROMAN(N86)</f>
        <v>IV</v>
      </c>
      <c r="T86" s="7">
        <v>4</v>
      </c>
      <c r="W86" s="7">
        <v>25</v>
      </c>
      <c r="Z86">
        <v>-23</v>
      </c>
    </row>
    <row r="87" spans="2:27" x14ac:dyDescent="0.3">
      <c r="B87" s="7">
        <v>4.5999999999999996</v>
      </c>
      <c r="C87" s="7"/>
      <c r="D87" s="7"/>
      <c r="E87" s="7"/>
      <c r="F87" s="7"/>
      <c r="I87" s="7">
        <v>2</v>
      </c>
      <c r="J87" s="7">
        <v>5</v>
      </c>
      <c r="K87" s="7"/>
      <c r="L87" s="7"/>
      <c r="N87">
        <v>2</v>
      </c>
      <c r="Q87" t="str">
        <f t="shared" ref="Q87:Q94" si="0">ROMAN(N87)</f>
        <v>II</v>
      </c>
      <c r="T87" s="7">
        <v>2</v>
      </c>
      <c r="W87" s="7">
        <v>4</v>
      </c>
      <c r="Z87">
        <v>-25</v>
      </c>
    </row>
    <row r="88" spans="2:27" x14ac:dyDescent="0.3">
      <c r="B88" s="7">
        <v>2.1</v>
      </c>
      <c r="C88" s="7"/>
      <c r="D88" s="7"/>
      <c r="E88" s="7"/>
      <c r="F88" s="7"/>
      <c r="I88" s="7">
        <v>3</v>
      </c>
      <c r="J88" s="7">
        <v>2</v>
      </c>
      <c r="K88" s="7"/>
      <c r="L88" s="7"/>
      <c r="N88">
        <v>3</v>
      </c>
      <c r="Q88" t="str">
        <f t="shared" si="0"/>
        <v>III</v>
      </c>
      <c r="T88" s="7">
        <v>3</v>
      </c>
      <c r="W88" s="7">
        <v>16</v>
      </c>
      <c r="Z88">
        <v>-35</v>
      </c>
    </row>
    <row r="89" spans="2:27" x14ac:dyDescent="0.3">
      <c r="B89" s="7">
        <v>4.67</v>
      </c>
      <c r="C89" s="7"/>
      <c r="D89" s="7"/>
      <c r="E89" s="7"/>
      <c r="F89" s="7"/>
      <c r="I89" s="7">
        <v>5</v>
      </c>
      <c r="J89" s="7">
        <v>5</v>
      </c>
      <c r="K89" s="7"/>
      <c r="L89" s="7"/>
      <c r="N89">
        <v>5</v>
      </c>
      <c r="Q89" t="str">
        <f t="shared" si="0"/>
        <v>V</v>
      </c>
      <c r="T89" s="7">
        <v>5</v>
      </c>
      <c r="W89" s="7">
        <v>20</v>
      </c>
      <c r="Z89">
        <v>-20</v>
      </c>
    </row>
    <row r="90" spans="2:27" x14ac:dyDescent="0.3">
      <c r="B90" s="7">
        <v>3.56</v>
      </c>
      <c r="C90" s="7"/>
      <c r="D90" s="7"/>
      <c r="E90" s="7"/>
      <c r="F90" s="7"/>
      <c r="I90" s="7">
        <v>3</v>
      </c>
      <c r="J90" s="7">
        <v>4</v>
      </c>
      <c r="K90" s="7"/>
      <c r="L90" s="7"/>
      <c r="N90">
        <v>4</v>
      </c>
      <c r="Q90" t="str">
        <f t="shared" si="0"/>
        <v>IV</v>
      </c>
      <c r="T90" s="7">
        <v>1</v>
      </c>
      <c r="W90" s="7">
        <v>625</v>
      </c>
      <c r="Z90">
        <v>-625</v>
      </c>
    </row>
    <row r="91" spans="2:27" x14ac:dyDescent="0.3">
      <c r="B91" s="7">
        <v>5.0999999999999996</v>
      </c>
      <c r="C91" s="7"/>
      <c r="D91" s="7"/>
      <c r="E91" s="7"/>
      <c r="F91" s="7"/>
      <c r="I91" s="7">
        <v>8</v>
      </c>
      <c r="J91" s="7">
        <v>2</v>
      </c>
      <c r="K91" s="7"/>
      <c r="L91" s="7"/>
      <c r="N91">
        <v>8</v>
      </c>
      <c r="Q91" t="str">
        <f t="shared" si="0"/>
        <v>VIII</v>
      </c>
      <c r="T91" s="7">
        <v>3</v>
      </c>
      <c r="W91" s="7">
        <v>80</v>
      </c>
      <c r="Z91">
        <v>-80</v>
      </c>
    </row>
    <row r="92" spans="2:27" x14ac:dyDescent="0.3">
      <c r="B92" s="7">
        <v>8.9</v>
      </c>
      <c r="C92" s="7"/>
      <c r="D92" s="7"/>
      <c r="E92" s="7"/>
      <c r="F92" s="7"/>
      <c r="I92" s="7">
        <v>5</v>
      </c>
      <c r="J92" s="7">
        <v>4</v>
      </c>
      <c r="K92" s="7"/>
      <c r="L92" s="7"/>
      <c r="N92">
        <v>5</v>
      </c>
      <c r="Q92" t="str">
        <f t="shared" si="0"/>
        <v>V</v>
      </c>
      <c r="T92" s="7">
        <v>5</v>
      </c>
      <c r="W92" s="7">
        <v>56</v>
      </c>
      <c r="Z92">
        <v>-56</v>
      </c>
    </row>
    <row r="93" spans="2:27" x14ac:dyDescent="0.3">
      <c r="B93" s="7">
        <v>2.1</v>
      </c>
      <c r="C93" s="7"/>
      <c r="D93" s="7"/>
      <c r="E93" s="7"/>
      <c r="F93" s="7"/>
      <c r="I93" s="7">
        <v>7</v>
      </c>
      <c r="J93" s="7">
        <v>3</v>
      </c>
      <c r="K93" s="7"/>
      <c r="L93" s="7"/>
      <c r="N93">
        <v>7</v>
      </c>
      <c r="Q93" t="str">
        <f t="shared" si="0"/>
        <v>VII</v>
      </c>
      <c r="T93" s="7">
        <v>5</v>
      </c>
      <c r="W93" s="7">
        <v>26</v>
      </c>
      <c r="Z93">
        <v>-26</v>
      </c>
    </row>
    <row r="94" spans="2:27" x14ac:dyDescent="0.3">
      <c r="B94" s="7">
        <v>3.56</v>
      </c>
      <c r="C94" s="7"/>
      <c r="D94" s="7"/>
      <c r="E94" s="7"/>
      <c r="F94" s="7"/>
      <c r="I94" s="7">
        <v>8</v>
      </c>
      <c r="J94" s="7">
        <v>2</v>
      </c>
      <c r="K94" s="7"/>
      <c r="L94" s="7"/>
      <c r="N94">
        <v>3999</v>
      </c>
      <c r="Q94" t="str">
        <f t="shared" si="0"/>
        <v>MMMCMXCIX</v>
      </c>
      <c r="T94" s="7">
        <v>1</v>
      </c>
      <c r="W94" s="7">
        <v>34</v>
      </c>
      <c r="Z94">
        <v>-34</v>
      </c>
    </row>
    <row r="95" spans="2:27" x14ac:dyDescent="0.3">
      <c r="C95" s="7"/>
      <c r="I95" s="7"/>
      <c r="J95" s="7"/>
      <c r="K95" s="7"/>
      <c r="L95" s="7"/>
      <c r="N95">
        <v>4000</v>
      </c>
    </row>
    <row r="96" spans="2:27" x14ac:dyDescent="0.3">
      <c r="C96" s="7"/>
      <c r="D96" s="7"/>
      <c r="E96" s="7"/>
      <c r="F96" s="7"/>
      <c r="I96" s="7"/>
      <c r="J96" s="7"/>
      <c r="K96" s="7"/>
      <c r="L96" s="7"/>
    </row>
    <row r="97" spans="3:27" x14ac:dyDescent="0.3">
      <c r="I97" s="7"/>
      <c r="J97" s="7"/>
      <c r="K97" s="7"/>
      <c r="L97" s="7"/>
    </row>
    <row r="98" spans="3:27" x14ac:dyDescent="0.3">
      <c r="C98" s="64" t="e">
        <f ca="1">_xlfn.FORMULATEXT(C89)</f>
        <v>#N/A</v>
      </c>
      <c r="D98" s="64" t="e">
        <f ca="1">_xlfn.FORMULATEXT(D89)</f>
        <v>#N/A</v>
      </c>
      <c r="E98" s="64" t="e">
        <f ca="1">_xlfn.FORMULATEXT(E89)</f>
        <v>#N/A</v>
      </c>
      <c r="F98" s="64" t="e">
        <f ca="1">_xlfn.FORMULATEXT(F89)</f>
        <v>#N/A</v>
      </c>
      <c r="I98" s="7"/>
      <c r="J98" s="7"/>
      <c r="K98" s="54" t="e">
        <f ca="1">_xlfn.FORMULATEXT(K86)</f>
        <v>#N/A</v>
      </c>
      <c r="L98" s="54" t="e">
        <f ca="1">_xlfn.FORMULATEXT(L86)</f>
        <v>#N/A</v>
      </c>
      <c r="O98" s="17" t="e">
        <f ca="1">_xlfn.FORMULATEXT(O86)</f>
        <v>#N/A</v>
      </c>
      <c r="P98" s="17"/>
      <c r="Q98" s="17"/>
      <c r="R98" s="17" t="e">
        <f ca="1">_xlfn.FORMULATEXT(R87)</f>
        <v>#N/A</v>
      </c>
      <c r="U98" s="17" t="e">
        <f ca="1">_xlfn.FORMULATEXT(U86)</f>
        <v>#N/A</v>
      </c>
      <c r="X98" s="17" t="e">
        <f ca="1">_xlfn.FORMULATEXT(X94)</f>
        <v>#N/A</v>
      </c>
      <c r="AA98" s="17" t="e">
        <f ca="1">_xlfn.FORMULATEXT(AA86)</f>
        <v>#N/A</v>
      </c>
    </row>
    <row r="100" spans="3:27" ht="43.2" x14ac:dyDescent="0.3">
      <c r="N100" s="63" t="s">
        <v>476</v>
      </c>
      <c r="O100" s="11" t="s">
        <v>477</v>
      </c>
      <c r="AA100" s="11" t="s">
        <v>478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25E2-0491-4B22-8F4B-DDE4EF5BFC3B}">
  <sheetPr codeName="Sheet6"/>
  <dimension ref="A1:I30"/>
  <sheetViews>
    <sheetView workbookViewId="0">
      <selection activeCell="E18" sqref="E18"/>
    </sheetView>
  </sheetViews>
  <sheetFormatPr defaultRowHeight="14.4" x14ac:dyDescent="0.3"/>
  <cols>
    <col min="1" max="1" width="18.88671875" customWidth="1"/>
    <col min="2" max="2" width="19.109375" customWidth="1"/>
    <col min="3" max="3" width="14.21875" customWidth="1"/>
    <col min="4" max="4" width="15.5546875" customWidth="1"/>
    <col min="5" max="5" width="25" customWidth="1"/>
    <col min="6" max="6" width="18.88671875" customWidth="1"/>
    <col min="7" max="7" width="14.21875" customWidth="1"/>
    <col min="8" max="8" width="37.33203125" customWidth="1"/>
    <col min="9" max="9" width="31.33203125" customWidth="1"/>
    <col min="10" max="10" width="22.88671875" customWidth="1"/>
    <col min="11" max="11" width="17.109375" customWidth="1"/>
    <col min="12" max="12" width="21.5546875" customWidth="1"/>
    <col min="13" max="13" width="17.33203125" customWidth="1"/>
  </cols>
  <sheetData>
    <row r="1" spans="1:9" x14ac:dyDescent="0.3">
      <c r="A1" s="21" t="s">
        <v>230</v>
      </c>
    </row>
    <row r="4" spans="1:9" x14ac:dyDescent="0.3">
      <c r="B4" s="90" t="s">
        <v>231</v>
      </c>
      <c r="C4" s="90" t="s">
        <v>232</v>
      </c>
      <c r="D4" s="90" t="s">
        <v>219</v>
      </c>
      <c r="E4" s="90" t="s">
        <v>233</v>
      </c>
    </row>
    <row r="5" spans="1:9" x14ac:dyDescent="0.3">
      <c r="B5" t="s">
        <v>234</v>
      </c>
      <c r="C5">
        <v>30</v>
      </c>
      <c r="D5">
        <v>25</v>
      </c>
      <c r="H5" s="17"/>
      <c r="I5" s="17"/>
    </row>
    <row r="6" spans="1:9" x14ac:dyDescent="0.3">
      <c r="B6" t="s">
        <v>235</v>
      </c>
      <c r="C6">
        <v>40</v>
      </c>
      <c r="D6">
        <v>20</v>
      </c>
    </row>
    <row r="7" spans="1:9" x14ac:dyDescent="0.3">
      <c r="B7" t="s">
        <v>236</v>
      </c>
      <c r="C7">
        <v>20</v>
      </c>
      <c r="D7">
        <v>40</v>
      </c>
    </row>
    <row r="8" spans="1:9" x14ac:dyDescent="0.3">
      <c r="B8" t="s">
        <v>237</v>
      </c>
      <c r="C8">
        <v>25</v>
      </c>
      <c r="D8">
        <v>80</v>
      </c>
    </row>
    <row r="9" spans="1:9" x14ac:dyDescent="0.3">
      <c r="B9" t="s">
        <v>224</v>
      </c>
      <c r="C9">
        <v>100</v>
      </c>
      <c r="D9">
        <v>60</v>
      </c>
    </row>
    <row r="10" spans="1:9" x14ac:dyDescent="0.3">
      <c r="B10" t="s">
        <v>238</v>
      </c>
      <c r="C10">
        <v>300</v>
      </c>
      <c r="D10">
        <v>20</v>
      </c>
    </row>
    <row r="11" spans="1:9" x14ac:dyDescent="0.3">
      <c r="B11" t="s">
        <v>239</v>
      </c>
      <c r="C11">
        <v>150</v>
      </c>
      <c r="D11">
        <v>50</v>
      </c>
    </row>
    <row r="12" spans="1:9" x14ac:dyDescent="0.3">
      <c r="B12" t="s">
        <v>240</v>
      </c>
      <c r="C12">
        <v>200</v>
      </c>
      <c r="D12">
        <v>100</v>
      </c>
    </row>
    <row r="13" spans="1:9" x14ac:dyDescent="0.3">
      <c r="B13" t="s">
        <v>241</v>
      </c>
      <c r="C13">
        <v>300</v>
      </c>
      <c r="D13">
        <v>200</v>
      </c>
    </row>
    <row r="18" spans="1:5" x14ac:dyDescent="0.3">
      <c r="A18" s="21" t="s">
        <v>242</v>
      </c>
    </row>
    <row r="21" spans="1:5" x14ac:dyDescent="0.3">
      <c r="B21" s="91" t="s">
        <v>218</v>
      </c>
      <c r="C21" s="91" t="s">
        <v>219</v>
      </c>
      <c r="D21" s="91" t="s">
        <v>220</v>
      </c>
      <c r="E21" s="91" t="s">
        <v>221</v>
      </c>
    </row>
    <row r="22" spans="1:5" x14ac:dyDescent="0.3">
      <c r="B22" t="s">
        <v>234</v>
      </c>
      <c r="C22">
        <v>16</v>
      </c>
      <c r="D22">
        <v>50</v>
      </c>
      <c r="E22">
        <f>C22*D22</f>
        <v>800</v>
      </c>
    </row>
    <row r="23" spans="1:5" x14ac:dyDescent="0.3">
      <c r="B23" t="s">
        <v>235</v>
      </c>
      <c r="C23">
        <v>20</v>
      </c>
      <c r="D23">
        <v>30</v>
      </c>
      <c r="E23">
        <f t="shared" ref="E23:E30" si="0">C23*D23</f>
        <v>600</v>
      </c>
    </row>
    <row r="24" spans="1:5" x14ac:dyDescent="0.3">
      <c r="B24" t="s">
        <v>236</v>
      </c>
      <c r="C24">
        <v>25</v>
      </c>
      <c r="D24">
        <v>40</v>
      </c>
      <c r="E24">
        <f t="shared" si="0"/>
        <v>1000</v>
      </c>
    </row>
    <row r="25" spans="1:5" x14ac:dyDescent="0.3">
      <c r="B25" t="s">
        <v>237</v>
      </c>
      <c r="C25">
        <v>18</v>
      </c>
      <c r="D25">
        <v>11</v>
      </c>
      <c r="E25">
        <f t="shared" si="0"/>
        <v>198</v>
      </c>
    </row>
    <row r="26" spans="1:5" x14ac:dyDescent="0.3">
      <c r="B26" t="s">
        <v>224</v>
      </c>
      <c r="C26">
        <v>30</v>
      </c>
      <c r="D26">
        <v>12.33</v>
      </c>
      <c r="E26">
        <f t="shared" si="0"/>
        <v>369.9</v>
      </c>
    </row>
    <row r="27" spans="1:5" x14ac:dyDescent="0.3">
      <c r="B27" t="s">
        <v>238</v>
      </c>
      <c r="C27">
        <v>12</v>
      </c>
      <c r="D27">
        <v>15</v>
      </c>
      <c r="E27">
        <f t="shared" si="0"/>
        <v>180</v>
      </c>
    </row>
    <row r="28" spans="1:5" x14ac:dyDescent="0.3">
      <c r="B28" t="s">
        <v>239</v>
      </c>
      <c r="C28">
        <v>4</v>
      </c>
      <c r="D28">
        <v>18</v>
      </c>
      <c r="E28">
        <f t="shared" si="0"/>
        <v>72</v>
      </c>
    </row>
    <row r="29" spans="1:5" x14ac:dyDescent="0.3">
      <c r="B29" t="s">
        <v>240</v>
      </c>
      <c r="C29">
        <v>6</v>
      </c>
      <c r="D29">
        <v>20</v>
      </c>
      <c r="E29">
        <f t="shared" si="0"/>
        <v>120</v>
      </c>
    </row>
    <row r="30" spans="1:5" x14ac:dyDescent="0.3">
      <c r="B30" t="s">
        <v>241</v>
      </c>
      <c r="C30">
        <v>15</v>
      </c>
      <c r="D30">
        <v>40</v>
      </c>
      <c r="E30">
        <f t="shared" si="0"/>
        <v>600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A515-A018-4241-90F3-3E244AB212A1}">
  <sheetPr codeName="Sheet13"/>
  <dimension ref="A1:N23"/>
  <sheetViews>
    <sheetView workbookViewId="0">
      <selection activeCell="G14" sqref="G14"/>
    </sheetView>
  </sheetViews>
  <sheetFormatPr defaultRowHeight="14.4" x14ac:dyDescent="0.3"/>
  <cols>
    <col min="1" max="1" width="24.33203125" customWidth="1"/>
    <col min="2" max="2" width="23.44140625" customWidth="1"/>
    <col min="3" max="3" width="23" customWidth="1"/>
    <col min="4" max="4" width="17.6640625" customWidth="1"/>
    <col min="5" max="5" width="15.88671875" customWidth="1"/>
    <col min="6" max="6" width="20.44140625" customWidth="1"/>
    <col min="7" max="7" width="15.109375" customWidth="1"/>
    <col min="8" max="8" width="15" customWidth="1"/>
    <col min="9" max="9" width="28.21875" customWidth="1"/>
    <col min="10" max="10" width="31" customWidth="1"/>
    <col min="11" max="11" width="22.88671875" customWidth="1"/>
    <col min="12" max="12" width="27.33203125" customWidth="1"/>
    <col min="13" max="13" width="33" customWidth="1"/>
    <col min="14" max="14" width="13.109375" customWidth="1"/>
    <col min="15" max="15" width="26.5546875" customWidth="1"/>
    <col min="16" max="16" width="29.44140625" customWidth="1"/>
  </cols>
  <sheetData>
    <row r="1" spans="1:14" ht="25.8" x14ac:dyDescent="0.5">
      <c r="A1" s="57" t="s">
        <v>479</v>
      </c>
      <c r="B1" s="57"/>
    </row>
    <row r="5" spans="1:14" x14ac:dyDescent="0.3">
      <c r="A5" s="66" t="s">
        <v>134</v>
      </c>
      <c r="B5" s="66" t="s">
        <v>480</v>
      </c>
      <c r="C5" s="66" t="s">
        <v>481</v>
      </c>
      <c r="D5" s="31" t="s">
        <v>138</v>
      </c>
      <c r="E5" s="66" t="s">
        <v>139</v>
      </c>
      <c r="F5" s="66" t="s">
        <v>482</v>
      </c>
      <c r="G5" s="66" t="s">
        <v>284</v>
      </c>
      <c r="H5" s="66" t="s">
        <v>483</v>
      </c>
      <c r="I5" s="66"/>
      <c r="J5" s="66"/>
      <c r="K5" s="66" t="s">
        <v>484</v>
      </c>
      <c r="L5" s="66" t="s">
        <v>485</v>
      </c>
      <c r="N5" s="71" t="s">
        <v>544</v>
      </c>
    </row>
    <row r="6" spans="1:14" x14ac:dyDescent="0.3">
      <c r="B6" s="102">
        <v>0</v>
      </c>
      <c r="C6" t="s">
        <v>629</v>
      </c>
      <c r="D6" t="s">
        <v>150</v>
      </c>
      <c r="E6" t="s">
        <v>151</v>
      </c>
      <c r="N6">
        <v>1000</v>
      </c>
    </row>
    <row r="7" spans="1:14" x14ac:dyDescent="0.3">
      <c r="B7" s="102">
        <v>0</v>
      </c>
      <c r="C7" t="s">
        <v>151</v>
      </c>
      <c r="G7" s="103">
        <v>8.3333333333333329E-2</v>
      </c>
      <c r="N7">
        <v>2000</v>
      </c>
    </row>
    <row r="8" spans="1:14" x14ac:dyDescent="0.3">
      <c r="B8" s="102"/>
      <c r="C8" t="s">
        <v>630</v>
      </c>
      <c r="N8">
        <v>3000</v>
      </c>
    </row>
    <row r="9" spans="1:14" x14ac:dyDescent="0.3">
      <c r="B9" s="102"/>
      <c r="C9" t="s">
        <v>631</v>
      </c>
      <c r="G9" s="103">
        <v>6.9444444444444441E-3</v>
      </c>
      <c r="N9">
        <v>5000</v>
      </c>
    </row>
    <row r="10" spans="1:14" x14ac:dyDescent="0.3">
      <c r="B10" s="102">
        <v>500</v>
      </c>
      <c r="F10" s="34">
        <v>46082</v>
      </c>
      <c r="N10">
        <v>6000</v>
      </c>
    </row>
    <row r="11" spans="1:14" x14ac:dyDescent="0.3">
      <c r="B11" s="102">
        <v>10000</v>
      </c>
      <c r="N11">
        <v>8000</v>
      </c>
    </row>
    <row r="12" spans="1:14" x14ac:dyDescent="0.3">
      <c r="B12" s="102">
        <v>100000</v>
      </c>
      <c r="N12">
        <v>5000</v>
      </c>
    </row>
    <row r="13" spans="1:14" x14ac:dyDescent="0.3">
      <c r="A13">
        <v>12</v>
      </c>
      <c r="B13" s="102">
        <v>100000</v>
      </c>
      <c r="G13" s="103">
        <v>0.375</v>
      </c>
      <c r="N13">
        <v>1000</v>
      </c>
    </row>
    <row r="14" spans="1:14" x14ac:dyDescent="0.3">
      <c r="B14" s="102"/>
      <c r="N14">
        <v>3000</v>
      </c>
    </row>
    <row r="15" spans="1:14" x14ac:dyDescent="0.3">
      <c r="A15">
        <v>11</v>
      </c>
      <c r="B15" s="102"/>
      <c r="N15">
        <v>9000</v>
      </c>
    </row>
    <row r="16" spans="1:14" x14ac:dyDescent="0.3">
      <c r="B16" s="102"/>
      <c r="N16">
        <v>8000</v>
      </c>
    </row>
    <row r="17" spans="2:14" x14ac:dyDescent="0.3">
      <c r="B17" s="102"/>
      <c r="N17">
        <v>7000</v>
      </c>
    </row>
    <row r="18" spans="2:14" x14ac:dyDescent="0.3">
      <c r="B18" s="102"/>
      <c r="N18">
        <v>10000</v>
      </c>
    </row>
    <row r="19" spans="2:14" x14ac:dyDescent="0.3">
      <c r="B19" s="102"/>
      <c r="N19">
        <v>4000</v>
      </c>
    </row>
    <row r="20" spans="2:14" x14ac:dyDescent="0.3">
      <c r="B20" s="102"/>
      <c r="N20">
        <v>6000</v>
      </c>
    </row>
    <row r="21" spans="2:14" x14ac:dyDescent="0.3">
      <c r="B21" s="102"/>
      <c r="N21">
        <v>2000</v>
      </c>
    </row>
    <row r="22" spans="2:14" x14ac:dyDescent="0.3">
      <c r="B22" s="102"/>
      <c r="N22">
        <v>20000</v>
      </c>
    </row>
    <row r="23" spans="2:14" s="17" customFormat="1" x14ac:dyDescent="0.3"/>
  </sheetData>
  <dataValidations count="6">
    <dataValidation type="whole" errorStyle="information" allowBlank="1" showInputMessage="1" showErrorMessage="1" errorTitle="Hey there!" error="You have entered wrong data" promptTitle="Whole numbers" prompt="Enter the values in the range of 1 to 10" sqref="A6:A22" xr:uid="{AF469CC3-3B9E-4FB1-A41A-B79FE0B3B166}">
      <formula1>1</formula1>
      <formula2>10</formula2>
    </dataValidation>
    <dataValidation type="decimal" allowBlank="1" showInputMessage="1" showErrorMessage="1" sqref="B6:B22" xr:uid="{D3A08834-2C7C-4C1E-AA24-A7F381F166B2}">
      <formula1>0</formula1>
      <formula2>100000</formula2>
    </dataValidation>
    <dataValidation type="list" allowBlank="1" showInputMessage="1" showErrorMessage="1" sqref="E6:E22" xr:uid="{936205E8-1AA9-45C9-A5C9-9575AB7262F9}">
      <formula1>$C$6:$C$9</formula1>
    </dataValidation>
    <dataValidation type="list" allowBlank="1" showInputMessage="1" showErrorMessage="1" sqref="D6:D22" xr:uid="{69EDEC18-1E9B-4B12-9DC4-84D7FC24ED8E}">
      <formula1>"W,E,N,S"</formula1>
    </dataValidation>
    <dataValidation type="date" allowBlank="1" showInputMessage="1" showErrorMessage="1" sqref="F6:F22" xr:uid="{001EAECD-2F69-4CD0-A1CE-D1C160A9E89A}">
      <formula1>46023</formula1>
      <formula2>46387</formula2>
    </dataValidation>
    <dataValidation type="time" allowBlank="1" showInputMessage="1" showErrorMessage="1" sqref="G6:G22" xr:uid="{73B8C69C-8A53-468B-91D3-C4B3901798A1}">
      <formula1>0.375</formula1>
      <formula2>0.708333333333333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B302-1F3E-45F2-B25A-3586CF9386D9}">
  <sheetPr codeName="Sheet14"/>
  <dimension ref="A1:X42"/>
  <sheetViews>
    <sheetView topLeftCell="P27" zoomScale="117" zoomScaleNormal="92" workbookViewId="0">
      <selection activeCell="R42" sqref="R42"/>
    </sheetView>
  </sheetViews>
  <sheetFormatPr defaultRowHeight="14.4" x14ac:dyDescent="0.3"/>
  <cols>
    <col min="1" max="1" width="10.109375" customWidth="1"/>
    <col min="2" max="2" width="14.88671875" customWidth="1"/>
    <col min="5" max="5" width="7.77734375" customWidth="1"/>
    <col min="6" max="6" width="13.44140625" customWidth="1"/>
    <col min="7" max="7" width="11.21875" customWidth="1"/>
    <col min="8" max="8" width="17" customWidth="1"/>
    <col min="9" max="9" width="19.109375" customWidth="1"/>
    <col min="10" max="10" width="21.33203125" customWidth="1"/>
    <col min="11" max="11" width="26.77734375" customWidth="1"/>
    <col min="12" max="12" width="18.109375" customWidth="1"/>
    <col min="13" max="13" width="25.33203125" customWidth="1"/>
    <col min="14" max="14" width="23.33203125" customWidth="1"/>
    <col min="15" max="15" width="29.5546875" bestFit="1" customWidth="1"/>
    <col min="16" max="16" width="23.88671875" customWidth="1"/>
    <col min="17" max="17" width="37.33203125" customWidth="1"/>
    <col min="18" max="18" width="51.5546875" customWidth="1"/>
    <col min="19" max="19" width="31.5546875" customWidth="1"/>
    <col min="20" max="20" width="24.109375" customWidth="1"/>
  </cols>
  <sheetData>
    <row r="1" spans="1:24" ht="23.4" x14ac:dyDescent="0.45">
      <c r="D1" s="67" t="s">
        <v>543</v>
      </c>
      <c r="E1" s="67"/>
      <c r="F1" s="17"/>
    </row>
    <row r="4" spans="1:24" ht="46.8" x14ac:dyDescent="0.45">
      <c r="S4" s="106" t="str">
        <f ca="1">_xlfn.FORMULATEXT(S6)</f>
        <v>=G6+H6+I6+J6+L6+P6+Q6+R6</v>
      </c>
      <c r="T4" s="106" t="str">
        <f ca="1">_xlfn.FORMULATEXT(T6)</f>
        <v>=S6-P6-L6</v>
      </c>
    </row>
    <row r="5" spans="1:24" x14ac:dyDescent="0.3">
      <c r="A5" s="68" t="s">
        <v>134</v>
      </c>
      <c r="B5" s="68" t="s">
        <v>135</v>
      </c>
      <c r="C5" s="68" t="s">
        <v>136</v>
      </c>
      <c r="D5" s="68" t="s">
        <v>137</v>
      </c>
      <c r="E5" s="68" t="s">
        <v>138</v>
      </c>
      <c r="F5" s="68" t="s">
        <v>139</v>
      </c>
      <c r="G5" s="68" t="s">
        <v>140</v>
      </c>
      <c r="H5" s="53" t="s">
        <v>500</v>
      </c>
      <c r="I5" s="53" t="s">
        <v>501</v>
      </c>
      <c r="J5" s="53" t="s">
        <v>502</v>
      </c>
      <c r="K5" s="53" t="s">
        <v>632</v>
      </c>
      <c r="L5" s="53" t="s">
        <v>503</v>
      </c>
      <c r="M5" s="53" t="s">
        <v>504</v>
      </c>
      <c r="N5" s="53" t="s">
        <v>505</v>
      </c>
      <c r="O5" s="53" t="s">
        <v>506</v>
      </c>
      <c r="P5" s="53" t="s">
        <v>507</v>
      </c>
      <c r="Q5" s="53" t="s">
        <v>508</v>
      </c>
      <c r="R5" s="53" t="s">
        <v>509</v>
      </c>
      <c r="S5" s="53" t="s">
        <v>510</v>
      </c>
      <c r="T5" s="53" t="s">
        <v>511</v>
      </c>
    </row>
    <row r="6" spans="1:24" x14ac:dyDescent="0.3">
      <c r="A6">
        <v>1</v>
      </c>
      <c r="B6" t="s">
        <v>141</v>
      </c>
      <c r="C6" t="s">
        <v>142</v>
      </c>
      <c r="D6" t="s">
        <v>143</v>
      </c>
      <c r="E6" t="s">
        <v>144</v>
      </c>
      <c r="F6" t="s">
        <v>145</v>
      </c>
      <c r="G6">
        <v>30000</v>
      </c>
      <c r="H6">
        <f>G6*30%</f>
        <v>9000</v>
      </c>
      <c r="I6">
        <f>(G6+H6)*40%</f>
        <v>15600</v>
      </c>
      <c r="J6" cm="1">
        <f t="array" ref="J6:J25">IF(F6:F25="Marketing",5000,0)</f>
        <v>0</v>
      </c>
      <c r="K6" cm="1">
        <f t="array" ref="K6:K25">IF(F6:F25="Marketing",G6:G25+5000,G6:G25)</f>
        <v>30000</v>
      </c>
      <c r="L6">
        <f>G6*12%</f>
        <v>3600</v>
      </c>
      <c r="M6">
        <f>IF(AND(F6="Training",E6="W"),G6*40%,0)</f>
        <v>12000</v>
      </c>
      <c r="N6">
        <f>IF(OR(F6="Accounts",F6="Operation"),5000,0)</f>
        <v>0</v>
      </c>
      <c r="O6">
        <f>IF(OR(F6="Accounts",F6="operation"),0,3500)</f>
        <v>3500</v>
      </c>
      <c r="P6">
        <f>IF(G6&lt;5000,0,IF(G6&lt;=10000,50,IF(G6&lt;=15000,100,IF(G6&lt;=20000,150,200))))</f>
        <v>200</v>
      </c>
      <c r="Q6">
        <f>IF(OR(D6="mumbai",D6="Delhi",D6="kolkata",D6="Chennai",D6="bangalore"),5000,0)</f>
        <v>5000</v>
      </c>
      <c r="R6">
        <f>IF(OR(AND(F6="Training",E6="w"),AND(F6="Marketing",E6="N"),AND(F6="R&amp;D",E6="S"),AND(F6="accounts",E6="E")),G6*30%,0)</f>
        <v>9000</v>
      </c>
      <c r="S6">
        <f>G6+H6+I6+J6+L6+P6+Q6+R6</f>
        <v>72400</v>
      </c>
      <c r="T6">
        <f>S6-P6-L6</f>
        <v>68600</v>
      </c>
    </row>
    <row r="7" spans="1:24" x14ac:dyDescent="0.3">
      <c r="A7">
        <v>2</v>
      </c>
      <c r="B7" t="s">
        <v>147</v>
      </c>
      <c r="C7" t="s">
        <v>148</v>
      </c>
      <c r="D7" t="s">
        <v>149</v>
      </c>
      <c r="E7" t="s">
        <v>150</v>
      </c>
      <c r="F7" t="s">
        <v>151</v>
      </c>
      <c r="G7">
        <v>8750</v>
      </c>
      <c r="H7">
        <f t="shared" ref="H7:H25" si="0">G7*30%</f>
        <v>2625</v>
      </c>
      <c r="I7">
        <f t="shared" ref="I7:I25" si="1">(G7+H7)*40%</f>
        <v>4550</v>
      </c>
      <c r="J7">
        <v>0</v>
      </c>
      <c r="K7">
        <v>8750</v>
      </c>
      <c r="L7">
        <f t="shared" ref="L7:L25" si="2">G7*12%</f>
        <v>1050</v>
      </c>
      <c r="M7">
        <f t="shared" ref="M7:M25" si="3">IF(AND(F7="Training",E7="W"),G7*40%,0)</f>
        <v>0</v>
      </c>
      <c r="N7">
        <f t="shared" ref="N7:N25" si="4">IF(OR(F7="Accounts",F7="Operation"),5000,0)</f>
        <v>5000</v>
      </c>
      <c r="O7">
        <f t="shared" ref="O7:O25" si="5">IF(OR(F7="Accounts",F7="operation"),0,3500)</f>
        <v>0</v>
      </c>
      <c r="P7">
        <f>IF(G7&lt;5000,0,IF(G7&lt;=10000,50,IF(G7&lt;=15000,100,IF(G7&lt;=20000,150,200))))</f>
        <v>50</v>
      </c>
      <c r="Q7">
        <f t="shared" ref="Q7:Q25" si="6">IF(OR(D7="mumbai",D7="Delhi",D7="kolkata",D7="Chennai",D7="bangalore"),5000,0)</f>
        <v>5000</v>
      </c>
      <c r="R7">
        <f t="shared" ref="R7:R25" si="7">IF(OR(AND(F7="Training",E7="w"),AND(F7="Marketing",E7="N"),AND(F7="R&amp;D",E7="S"),AND(F7="accounts",E7="E")),G7*30%,0)</f>
        <v>0</v>
      </c>
      <c r="S7">
        <f t="shared" ref="S7:S25" si="8">G7+H7+I7+J7+L7+P7+Q7+R7</f>
        <v>22025</v>
      </c>
      <c r="T7">
        <f t="shared" ref="T7:T25" si="9">S7-P7-L7</f>
        <v>20925</v>
      </c>
      <c r="U7" s="69" t="s">
        <v>507</v>
      </c>
      <c r="V7" s="69"/>
    </row>
    <row r="8" spans="1:24" x14ac:dyDescent="0.3">
      <c r="A8">
        <v>3</v>
      </c>
      <c r="B8" t="s">
        <v>153</v>
      </c>
      <c r="C8" t="s">
        <v>154</v>
      </c>
      <c r="D8" t="s">
        <v>155</v>
      </c>
      <c r="E8" t="s">
        <v>150</v>
      </c>
      <c r="F8" t="s">
        <v>156</v>
      </c>
      <c r="G8">
        <v>11250</v>
      </c>
      <c r="H8">
        <f t="shared" si="0"/>
        <v>3375</v>
      </c>
      <c r="I8">
        <f t="shared" si="1"/>
        <v>5850</v>
      </c>
      <c r="J8" s="17">
        <v>5000</v>
      </c>
      <c r="K8">
        <v>16250</v>
      </c>
      <c r="L8">
        <f t="shared" si="2"/>
        <v>1350</v>
      </c>
      <c r="M8">
        <f t="shared" si="3"/>
        <v>0</v>
      </c>
      <c r="N8">
        <f t="shared" si="4"/>
        <v>0</v>
      </c>
      <c r="O8">
        <f t="shared" si="5"/>
        <v>3500</v>
      </c>
      <c r="P8">
        <f>IF(G8&lt;5000,0,IF(G8&lt;=10000,50,IF(G8&lt;=15000,100,IF(G8&lt;=20000,150,200))))</f>
        <v>100</v>
      </c>
      <c r="Q8">
        <f t="shared" si="6"/>
        <v>0</v>
      </c>
      <c r="R8">
        <f t="shared" si="7"/>
        <v>3375</v>
      </c>
      <c r="S8">
        <f t="shared" si="8"/>
        <v>30300</v>
      </c>
      <c r="T8">
        <f t="shared" si="9"/>
        <v>28850</v>
      </c>
      <c r="U8" s="69" t="s">
        <v>512</v>
      </c>
      <c r="V8" s="69">
        <v>0</v>
      </c>
    </row>
    <row r="9" spans="1:24" x14ac:dyDescent="0.3">
      <c r="A9">
        <v>4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>
        <v>10000</v>
      </c>
      <c r="H9">
        <f t="shared" si="0"/>
        <v>3000</v>
      </c>
      <c r="I9">
        <f t="shared" si="1"/>
        <v>5200</v>
      </c>
      <c r="J9">
        <v>0</v>
      </c>
      <c r="K9">
        <v>10000</v>
      </c>
      <c r="L9">
        <f t="shared" si="2"/>
        <v>1200</v>
      </c>
      <c r="M9">
        <f t="shared" si="3"/>
        <v>0</v>
      </c>
      <c r="N9">
        <f t="shared" si="4"/>
        <v>0</v>
      </c>
      <c r="O9">
        <f t="shared" si="5"/>
        <v>3500</v>
      </c>
      <c r="P9">
        <f t="shared" ref="P9:P25" si="10">IF(G9&lt;5000,0,IF(G9&lt;=10000,50,IF(G9&lt;=15000,100,IF(G9&lt;=20000,150,200))))</f>
        <v>50</v>
      </c>
      <c r="Q9">
        <f t="shared" si="6"/>
        <v>5000</v>
      </c>
      <c r="R9">
        <f t="shared" si="7"/>
        <v>3000</v>
      </c>
      <c r="S9">
        <f t="shared" si="8"/>
        <v>27450</v>
      </c>
      <c r="T9">
        <f t="shared" si="9"/>
        <v>26200</v>
      </c>
      <c r="U9" s="69" t="s">
        <v>513</v>
      </c>
      <c r="V9" s="69">
        <v>50</v>
      </c>
    </row>
    <row r="10" spans="1:24" x14ac:dyDescent="0.3">
      <c r="A10">
        <v>5</v>
      </c>
      <c r="B10" t="s">
        <v>164</v>
      </c>
      <c r="C10" t="s">
        <v>165</v>
      </c>
      <c r="D10" t="s">
        <v>149</v>
      </c>
      <c r="E10" t="s">
        <v>150</v>
      </c>
      <c r="F10" t="s">
        <v>145</v>
      </c>
      <c r="G10">
        <v>16250</v>
      </c>
      <c r="H10">
        <f t="shared" si="0"/>
        <v>4875</v>
      </c>
      <c r="I10">
        <f t="shared" si="1"/>
        <v>8450</v>
      </c>
      <c r="J10">
        <v>0</v>
      </c>
      <c r="K10">
        <v>16250</v>
      </c>
      <c r="L10">
        <f t="shared" si="2"/>
        <v>1950</v>
      </c>
      <c r="M10">
        <f t="shared" si="3"/>
        <v>0</v>
      </c>
      <c r="N10">
        <f t="shared" si="4"/>
        <v>0</v>
      </c>
      <c r="O10">
        <f t="shared" si="5"/>
        <v>3500</v>
      </c>
      <c r="P10">
        <f t="shared" si="10"/>
        <v>150</v>
      </c>
      <c r="Q10">
        <f t="shared" si="6"/>
        <v>5000</v>
      </c>
      <c r="R10">
        <f t="shared" si="7"/>
        <v>0</v>
      </c>
      <c r="S10">
        <f t="shared" si="8"/>
        <v>36675</v>
      </c>
      <c r="T10">
        <f t="shared" si="9"/>
        <v>34575</v>
      </c>
      <c r="U10" s="69" t="s">
        <v>514</v>
      </c>
      <c r="V10" s="69">
        <v>100</v>
      </c>
    </row>
    <row r="11" spans="1:24" x14ac:dyDescent="0.3">
      <c r="A11">
        <v>6</v>
      </c>
      <c r="B11" t="s">
        <v>167</v>
      </c>
      <c r="C11" t="s">
        <v>168</v>
      </c>
      <c r="D11" t="s">
        <v>169</v>
      </c>
      <c r="E11" t="s">
        <v>67</v>
      </c>
      <c r="F11" t="s">
        <v>151</v>
      </c>
      <c r="G11">
        <v>6400</v>
      </c>
      <c r="H11">
        <f t="shared" si="0"/>
        <v>1920</v>
      </c>
      <c r="I11">
        <f t="shared" si="1"/>
        <v>3328</v>
      </c>
      <c r="J11">
        <v>0</v>
      </c>
      <c r="K11">
        <v>6400</v>
      </c>
      <c r="L11">
        <f t="shared" si="2"/>
        <v>768</v>
      </c>
      <c r="M11">
        <f t="shared" si="3"/>
        <v>0</v>
      </c>
      <c r="N11">
        <f t="shared" si="4"/>
        <v>5000</v>
      </c>
      <c r="O11">
        <f t="shared" si="5"/>
        <v>0</v>
      </c>
      <c r="P11">
        <f t="shared" si="10"/>
        <v>50</v>
      </c>
      <c r="Q11">
        <f t="shared" si="6"/>
        <v>0</v>
      </c>
      <c r="R11">
        <f t="shared" si="7"/>
        <v>1920</v>
      </c>
      <c r="S11">
        <f t="shared" si="8"/>
        <v>14386</v>
      </c>
      <c r="T11">
        <f t="shared" si="9"/>
        <v>13568</v>
      </c>
      <c r="U11" s="69" t="s">
        <v>515</v>
      </c>
      <c r="V11" s="69">
        <v>150</v>
      </c>
    </row>
    <row r="12" spans="1:24" x14ac:dyDescent="0.3">
      <c r="A12">
        <v>7</v>
      </c>
      <c r="B12" t="s">
        <v>171</v>
      </c>
      <c r="C12" t="s">
        <v>172</v>
      </c>
      <c r="D12" t="s">
        <v>173</v>
      </c>
      <c r="E12" t="s">
        <v>67</v>
      </c>
      <c r="F12" t="s">
        <v>156</v>
      </c>
      <c r="G12">
        <v>4500</v>
      </c>
      <c r="H12">
        <f t="shared" si="0"/>
        <v>1350</v>
      </c>
      <c r="I12">
        <f t="shared" si="1"/>
        <v>2340</v>
      </c>
      <c r="J12" s="17">
        <v>5000</v>
      </c>
      <c r="K12">
        <v>9500</v>
      </c>
      <c r="L12">
        <f t="shared" si="2"/>
        <v>540</v>
      </c>
      <c r="M12">
        <f t="shared" si="3"/>
        <v>0</v>
      </c>
      <c r="N12">
        <f t="shared" si="4"/>
        <v>0</v>
      </c>
      <c r="O12">
        <f t="shared" si="5"/>
        <v>3500</v>
      </c>
      <c r="P12">
        <f t="shared" si="10"/>
        <v>0</v>
      </c>
      <c r="Q12">
        <f t="shared" si="6"/>
        <v>5000</v>
      </c>
      <c r="R12">
        <f t="shared" si="7"/>
        <v>0</v>
      </c>
      <c r="S12">
        <f t="shared" si="8"/>
        <v>18730</v>
      </c>
      <c r="T12">
        <f t="shared" si="9"/>
        <v>18190</v>
      </c>
      <c r="U12" s="69" t="s">
        <v>516</v>
      </c>
      <c r="V12" s="69">
        <v>200</v>
      </c>
    </row>
    <row r="13" spans="1:24" x14ac:dyDescent="0.3">
      <c r="A13">
        <v>8</v>
      </c>
      <c r="B13" t="s">
        <v>175</v>
      </c>
      <c r="C13" t="s">
        <v>176</v>
      </c>
      <c r="D13" t="s">
        <v>173</v>
      </c>
      <c r="E13" t="s">
        <v>67</v>
      </c>
      <c r="F13" t="s">
        <v>162</v>
      </c>
      <c r="G13">
        <v>6275</v>
      </c>
      <c r="H13">
        <f t="shared" si="0"/>
        <v>1882.5</v>
      </c>
      <c r="I13">
        <f t="shared" si="1"/>
        <v>3263</v>
      </c>
      <c r="J13">
        <v>0</v>
      </c>
      <c r="K13">
        <v>6275</v>
      </c>
      <c r="L13">
        <f t="shared" si="2"/>
        <v>753</v>
      </c>
      <c r="M13">
        <f t="shared" si="3"/>
        <v>0</v>
      </c>
      <c r="N13">
        <f t="shared" si="4"/>
        <v>0</v>
      </c>
      <c r="O13">
        <f t="shared" si="5"/>
        <v>3500</v>
      </c>
      <c r="P13">
        <f t="shared" si="10"/>
        <v>50</v>
      </c>
      <c r="Q13">
        <f t="shared" si="6"/>
        <v>5000</v>
      </c>
      <c r="R13">
        <f t="shared" si="7"/>
        <v>0</v>
      </c>
      <c r="S13">
        <f t="shared" si="8"/>
        <v>17223.5</v>
      </c>
      <c r="T13">
        <f t="shared" si="9"/>
        <v>16420.5</v>
      </c>
    </row>
    <row r="14" spans="1:24" x14ac:dyDescent="0.3">
      <c r="A14">
        <v>9</v>
      </c>
      <c r="B14" t="s">
        <v>178</v>
      </c>
      <c r="C14" t="s">
        <v>179</v>
      </c>
      <c r="D14" t="s">
        <v>143</v>
      </c>
      <c r="E14" t="s">
        <v>144</v>
      </c>
      <c r="F14" t="s">
        <v>145</v>
      </c>
      <c r="G14">
        <v>6250</v>
      </c>
      <c r="H14">
        <f t="shared" si="0"/>
        <v>1875</v>
      </c>
      <c r="I14">
        <f t="shared" si="1"/>
        <v>3250</v>
      </c>
      <c r="J14">
        <v>0</v>
      </c>
      <c r="K14">
        <v>6250</v>
      </c>
      <c r="L14">
        <f t="shared" si="2"/>
        <v>750</v>
      </c>
      <c r="M14">
        <f t="shared" si="3"/>
        <v>2500</v>
      </c>
      <c r="N14">
        <f t="shared" si="4"/>
        <v>0</v>
      </c>
      <c r="O14">
        <f t="shared" si="5"/>
        <v>3500</v>
      </c>
      <c r="P14">
        <f t="shared" si="10"/>
        <v>50</v>
      </c>
      <c r="Q14">
        <f t="shared" si="6"/>
        <v>5000</v>
      </c>
      <c r="R14">
        <f t="shared" si="7"/>
        <v>1875</v>
      </c>
      <c r="S14">
        <f t="shared" si="8"/>
        <v>19050</v>
      </c>
      <c r="T14">
        <f t="shared" si="9"/>
        <v>18250</v>
      </c>
    </row>
    <row r="15" spans="1:24" x14ac:dyDescent="0.3">
      <c r="A15">
        <v>10</v>
      </c>
      <c r="B15" t="s">
        <v>180</v>
      </c>
      <c r="C15" t="s">
        <v>181</v>
      </c>
      <c r="D15" t="s">
        <v>182</v>
      </c>
      <c r="E15" t="s">
        <v>161</v>
      </c>
      <c r="F15" t="s">
        <v>151</v>
      </c>
      <c r="G15">
        <v>8750</v>
      </c>
      <c r="H15">
        <f t="shared" si="0"/>
        <v>2625</v>
      </c>
      <c r="I15">
        <f t="shared" si="1"/>
        <v>4550</v>
      </c>
      <c r="J15">
        <v>0</v>
      </c>
      <c r="K15">
        <v>8750</v>
      </c>
      <c r="L15">
        <f t="shared" si="2"/>
        <v>1050</v>
      </c>
      <c r="M15">
        <f t="shared" si="3"/>
        <v>0</v>
      </c>
      <c r="N15">
        <f t="shared" si="4"/>
        <v>5000</v>
      </c>
      <c r="O15">
        <f t="shared" si="5"/>
        <v>0</v>
      </c>
      <c r="P15">
        <f t="shared" si="10"/>
        <v>50</v>
      </c>
      <c r="Q15">
        <f t="shared" si="6"/>
        <v>5000</v>
      </c>
      <c r="R15">
        <f t="shared" si="7"/>
        <v>0</v>
      </c>
      <c r="S15">
        <f t="shared" si="8"/>
        <v>22025</v>
      </c>
      <c r="T15">
        <f t="shared" si="9"/>
        <v>20925</v>
      </c>
    </row>
    <row r="16" spans="1:24" x14ac:dyDescent="0.3">
      <c r="A16">
        <v>11</v>
      </c>
      <c r="B16" t="s">
        <v>184</v>
      </c>
      <c r="C16" t="s">
        <v>185</v>
      </c>
      <c r="D16" t="s">
        <v>182</v>
      </c>
      <c r="E16" t="s">
        <v>161</v>
      </c>
      <c r="F16" t="s">
        <v>156</v>
      </c>
      <c r="G16">
        <v>11250</v>
      </c>
      <c r="H16">
        <f t="shared" si="0"/>
        <v>3375</v>
      </c>
      <c r="I16">
        <f t="shared" si="1"/>
        <v>5850</v>
      </c>
      <c r="J16">
        <v>5000</v>
      </c>
      <c r="K16">
        <v>16250</v>
      </c>
      <c r="L16">
        <f t="shared" si="2"/>
        <v>1350</v>
      </c>
      <c r="M16">
        <f t="shared" si="3"/>
        <v>0</v>
      </c>
      <c r="N16">
        <f t="shared" si="4"/>
        <v>0</v>
      </c>
      <c r="O16">
        <f t="shared" si="5"/>
        <v>3500</v>
      </c>
      <c r="P16">
        <f t="shared" si="10"/>
        <v>100</v>
      </c>
      <c r="Q16">
        <f t="shared" si="6"/>
        <v>5000</v>
      </c>
      <c r="R16">
        <f t="shared" si="7"/>
        <v>0</v>
      </c>
      <c r="S16">
        <f t="shared" si="8"/>
        <v>31925</v>
      </c>
      <c r="T16">
        <f t="shared" si="9"/>
        <v>30475</v>
      </c>
      <c r="U16" s="69" t="s">
        <v>145</v>
      </c>
      <c r="V16" s="69" t="s">
        <v>144</v>
      </c>
      <c r="W16" s="135" t="s">
        <v>517</v>
      </c>
      <c r="X16" s="136"/>
    </row>
    <row r="17" spans="1:24" x14ac:dyDescent="0.3">
      <c r="A17">
        <v>12</v>
      </c>
      <c r="B17" t="s">
        <v>187</v>
      </c>
      <c r="C17" t="s">
        <v>188</v>
      </c>
      <c r="D17" t="s">
        <v>189</v>
      </c>
      <c r="E17" t="s">
        <v>161</v>
      </c>
      <c r="F17" t="s">
        <v>162</v>
      </c>
      <c r="G17">
        <v>10000</v>
      </c>
      <c r="H17">
        <f t="shared" si="0"/>
        <v>3000</v>
      </c>
      <c r="I17">
        <f t="shared" si="1"/>
        <v>5200</v>
      </c>
      <c r="J17">
        <v>0</v>
      </c>
      <c r="K17">
        <v>10000</v>
      </c>
      <c r="L17">
        <f t="shared" si="2"/>
        <v>1200</v>
      </c>
      <c r="M17">
        <f t="shared" si="3"/>
        <v>0</v>
      </c>
      <c r="N17">
        <f t="shared" si="4"/>
        <v>0</v>
      </c>
      <c r="O17">
        <f t="shared" si="5"/>
        <v>3500</v>
      </c>
      <c r="P17">
        <f t="shared" si="10"/>
        <v>50</v>
      </c>
      <c r="Q17">
        <f t="shared" si="6"/>
        <v>0</v>
      </c>
      <c r="R17">
        <f t="shared" si="7"/>
        <v>3000</v>
      </c>
      <c r="S17">
        <f t="shared" si="8"/>
        <v>22450</v>
      </c>
      <c r="T17">
        <f t="shared" si="9"/>
        <v>21200</v>
      </c>
      <c r="U17" s="69" t="s">
        <v>156</v>
      </c>
      <c r="V17" s="69" t="s">
        <v>150</v>
      </c>
      <c r="W17" s="135"/>
      <c r="X17" s="136"/>
    </row>
    <row r="18" spans="1:24" x14ac:dyDescent="0.3">
      <c r="A18">
        <v>13</v>
      </c>
      <c r="B18" t="s">
        <v>190</v>
      </c>
      <c r="C18" t="s">
        <v>148</v>
      </c>
      <c r="D18" t="s">
        <v>191</v>
      </c>
      <c r="E18" t="s">
        <v>161</v>
      </c>
      <c r="F18" t="s">
        <v>145</v>
      </c>
      <c r="G18">
        <v>16250</v>
      </c>
      <c r="H18">
        <f t="shared" si="0"/>
        <v>4875</v>
      </c>
      <c r="I18">
        <f t="shared" si="1"/>
        <v>8450</v>
      </c>
      <c r="J18">
        <v>0</v>
      </c>
      <c r="K18">
        <v>16250</v>
      </c>
      <c r="L18">
        <f t="shared" si="2"/>
        <v>1950</v>
      </c>
      <c r="M18">
        <f t="shared" si="3"/>
        <v>0</v>
      </c>
      <c r="N18">
        <f t="shared" si="4"/>
        <v>0</v>
      </c>
      <c r="O18">
        <f t="shared" si="5"/>
        <v>3500</v>
      </c>
      <c r="P18">
        <f t="shared" si="10"/>
        <v>150</v>
      </c>
      <c r="Q18">
        <f t="shared" si="6"/>
        <v>0</v>
      </c>
      <c r="R18">
        <f t="shared" si="7"/>
        <v>0</v>
      </c>
      <c r="S18">
        <f t="shared" si="8"/>
        <v>31675</v>
      </c>
      <c r="T18">
        <f t="shared" si="9"/>
        <v>29575</v>
      </c>
      <c r="U18" s="69" t="s">
        <v>162</v>
      </c>
      <c r="V18" s="69" t="s">
        <v>161</v>
      </c>
      <c r="W18" s="135"/>
      <c r="X18" s="136"/>
    </row>
    <row r="19" spans="1:24" x14ac:dyDescent="0.3">
      <c r="A19">
        <v>14</v>
      </c>
      <c r="B19" t="s">
        <v>193</v>
      </c>
      <c r="C19" t="s">
        <v>154</v>
      </c>
      <c r="D19" t="s">
        <v>189</v>
      </c>
      <c r="E19" t="s">
        <v>161</v>
      </c>
      <c r="F19" t="s">
        <v>151</v>
      </c>
      <c r="G19">
        <v>6400</v>
      </c>
      <c r="H19">
        <f t="shared" si="0"/>
        <v>1920</v>
      </c>
      <c r="I19">
        <f t="shared" si="1"/>
        <v>3328</v>
      </c>
      <c r="J19">
        <v>0</v>
      </c>
      <c r="K19">
        <v>6400</v>
      </c>
      <c r="L19">
        <f t="shared" si="2"/>
        <v>768</v>
      </c>
      <c r="M19">
        <f t="shared" si="3"/>
        <v>0</v>
      </c>
      <c r="N19">
        <f t="shared" si="4"/>
        <v>5000</v>
      </c>
      <c r="O19">
        <f t="shared" si="5"/>
        <v>0</v>
      </c>
      <c r="P19">
        <f t="shared" si="10"/>
        <v>50</v>
      </c>
      <c r="Q19">
        <f t="shared" si="6"/>
        <v>0</v>
      </c>
      <c r="R19">
        <f t="shared" si="7"/>
        <v>0</v>
      </c>
      <c r="S19">
        <f t="shared" si="8"/>
        <v>12466</v>
      </c>
      <c r="T19">
        <f t="shared" si="9"/>
        <v>11648</v>
      </c>
      <c r="U19" s="69" t="s">
        <v>151</v>
      </c>
      <c r="V19" s="69" t="s">
        <v>67</v>
      </c>
      <c r="W19" s="135"/>
      <c r="X19" s="136"/>
    </row>
    <row r="20" spans="1:24" x14ac:dyDescent="0.3">
      <c r="A20">
        <v>15</v>
      </c>
      <c r="B20" t="s">
        <v>195</v>
      </c>
      <c r="C20" t="s">
        <v>196</v>
      </c>
      <c r="D20" t="s">
        <v>149</v>
      </c>
      <c r="E20" t="s">
        <v>150</v>
      </c>
      <c r="F20" t="s">
        <v>156</v>
      </c>
      <c r="G20">
        <v>4500</v>
      </c>
      <c r="H20">
        <f t="shared" si="0"/>
        <v>1350</v>
      </c>
      <c r="I20">
        <f t="shared" si="1"/>
        <v>2340</v>
      </c>
      <c r="J20">
        <v>5000</v>
      </c>
      <c r="K20">
        <v>9500</v>
      </c>
      <c r="L20">
        <f t="shared" si="2"/>
        <v>540</v>
      </c>
      <c r="M20">
        <f t="shared" si="3"/>
        <v>0</v>
      </c>
      <c r="N20">
        <f t="shared" si="4"/>
        <v>0</v>
      </c>
      <c r="O20">
        <f t="shared" si="5"/>
        <v>3500</v>
      </c>
      <c r="P20">
        <f t="shared" si="10"/>
        <v>0</v>
      </c>
      <c r="Q20">
        <f t="shared" si="6"/>
        <v>5000</v>
      </c>
      <c r="R20">
        <f t="shared" si="7"/>
        <v>1350</v>
      </c>
      <c r="S20">
        <f t="shared" si="8"/>
        <v>20080</v>
      </c>
      <c r="T20">
        <f t="shared" si="9"/>
        <v>19540</v>
      </c>
    </row>
    <row r="21" spans="1:24" x14ac:dyDescent="0.3">
      <c r="A21">
        <v>16</v>
      </c>
      <c r="B21" t="s">
        <v>198</v>
      </c>
      <c r="C21" t="s">
        <v>176</v>
      </c>
      <c r="D21" t="s">
        <v>189</v>
      </c>
      <c r="E21" t="s">
        <v>161</v>
      </c>
      <c r="F21" t="s">
        <v>162</v>
      </c>
      <c r="G21">
        <v>6275</v>
      </c>
      <c r="H21">
        <f t="shared" si="0"/>
        <v>1882.5</v>
      </c>
      <c r="I21">
        <f t="shared" si="1"/>
        <v>3263</v>
      </c>
      <c r="J21">
        <v>0</v>
      </c>
      <c r="K21">
        <v>6275</v>
      </c>
      <c r="L21">
        <f t="shared" si="2"/>
        <v>753</v>
      </c>
      <c r="M21">
        <f t="shared" si="3"/>
        <v>0</v>
      </c>
      <c r="N21">
        <f t="shared" si="4"/>
        <v>0</v>
      </c>
      <c r="O21">
        <f t="shared" si="5"/>
        <v>3500</v>
      </c>
      <c r="P21">
        <f t="shared" si="10"/>
        <v>50</v>
      </c>
      <c r="Q21">
        <f t="shared" si="6"/>
        <v>0</v>
      </c>
      <c r="R21">
        <f t="shared" si="7"/>
        <v>1882.5</v>
      </c>
      <c r="S21">
        <f t="shared" si="8"/>
        <v>14106</v>
      </c>
      <c r="T21">
        <f t="shared" si="9"/>
        <v>13303</v>
      </c>
    </row>
    <row r="22" spans="1:24" x14ac:dyDescent="0.3">
      <c r="A22">
        <v>17</v>
      </c>
      <c r="B22" t="s">
        <v>200</v>
      </c>
      <c r="C22" t="s">
        <v>201</v>
      </c>
      <c r="D22" t="s">
        <v>143</v>
      </c>
      <c r="E22" t="s">
        <v>144</v>
      </c>
      <c r="F22" t="s">
        <v>202</v>
      </c>
      <c r="G22">
        <v>6250</v>
      </c>
      <c r="H22">
        <f t="shared" si="0"/>
        <v>1875</v>
      </c>
      <c r="I22">
        <f t="shared" si="1"/>
        <v>3250</v>
      </c>
      <c r="J22">
        <v>0</v>
      </c>
      <c r="K22">
        <v>6250</v>
      </c>
      <c r="L22">
        <f t="shared" si="2"/>
        <v>750</v>
      </c>
      <c r="M22">
        <f t="shared" si="3"/>
        <v>0</v>
      </c>
      <c r="N22">
        <f t="shared" si="4"/>
        <v>5000</v>
      </c>
      <c r="O22">
        <f>IF(OR(F22="Accounts",F22="operation"),0,3500)</f>
        <v>0</v>
      </c>
      <c r="P22">
        <f t="shared" si="10"/>
        <v>50</v>
      </c>
      <c r="Q22">
        <f t="shared" si="6"/>
        <v>5000</v>
      </c>
      <c r="R22">
        <f t="shared" si="7"/>
        <v>0</v>
      </c>
      <c r="S22">
        <f t="shared" si="8"/>
        <v>17175</v>
      </c>
      <c r="T22">
        <f t="shared" si="9"/>
        <v>16375</v>
      </c>
    </row>
    <row r="23" spans="1:24" x14ac:dyDescent="0.3">
      <c r="A23">
        <v>18</v>
      </c>
      <c r="B23" t="s">
        <v>204</v>
      </c>
      <c r="C23" t="s">
        <v>205</v>
      </c>
      <c r="D23" t="s">
        <v>143</v>
      </c>
      <c r="E23" t="s">
        <v>144</v>
      </c>
      <c r="F23" t="s">
        <v>162</v>
      </c>
      <c r="G23">
        <v>8750</v>
      </c>
      <c r="H23">
        <f t="shared" si="0"/>
        <v>2625</v>
      </c>
      <c r="I23">
        <f t="shared" si="1"/>
        <v>4550</v>
      </c>
      <c r="J23">
        <v>0</v>
      </c>
      <c r="K23">
        <v>8750</v>
      </c>
      <c r="L23">
        <f t="shared" si="2"/>
        <v>1050</v>
      </c>
      <c r="M23">
        <f t="shared" si="3"/>
        <v>0</v>
      </c>
      <c r="N23">
        <f t="shared" si="4"/>
        <v>0</v>
      </c>
      <c r="O23">
        <f t="shared" si="5"/>
        <v>3500</v>
      </c>
      <c r="P23">
        <f t="shared" si="10"/>
        <v>50</v>
      </c>
      <c r="Q23">
        <f t="shared" si="6"/>
        <v>5000</v>
      </c>
      <c r="R23">
        <f t="shared" si="7"/>
        <v>0</v>
      </c>
      <c r="S23">
        <f t="shared" si="8"/>
        <v>22025</v>
      </c>
      <c r="T23">
        <f t="shared" si="9"/>
        <v>20925</v>
      </c>
    </row>
    <row r="24" spans="1:24" x14ac:dyDescent="0.3">
      <c r="A24">
        <v>19</v>
      </c>
      <c r="B24" t="s">
        <v>207</v>
      </c>
      <c r="C24" t="s">
        <v>208</v>
      </c>
      <c r="D24" t="s">
        <v>209</v>
      </c>
      <c r="E24" t="s">
        <v>144</v>
      </c>
      <c r="F24" t="s">
        <v>202</v>
      </c>
      <c r="G24">
        <v>11250</v>
      </c>
      <c r="H24">
        <f t="shared" si="0"/>
        <v>3375</v>
      </c>
      <c r="I24">
        <f t="shared" si="1"/>
        <v>5850</v>
      </c>
      <c r="J24">
        <v>0</v>
      </c>
      <c r="K24">
        <v>11250</v>
      </c>
      <c r="L24">
        <f t="shared" si="2"/>
        <v>1350</v>
      </c>
      <c r="M24">
        <f t="shared" si="3"/>
        <v>0</v>
      </c>
      <c r="N24">
        <f t="shared" si="4"/>
        <v>5000</v>
      </c>
      <c r="O24">
        <f t="shared" si="5"/>
        <v>0</v>
      </c>
      <c r="P24">
        <f t="shared" si="10"/>
        <v>100</v>
      </c>
      <c r="Q24">
        <f t="shared" si="6"/>
        <v>0</v>
      </c>
      <c r="R24">
        <f t="shared" si="7"/>
        <v>0</v>
      </c>
      <c r="S24">
        <f t="shared" si="8"/>
        <v>21925</v>
      </c>
      <c r="T24">
        <f t="shared" si="9"/>
        <v>20475</v>
      </c>
    </row>
    <row r="25" spans="1:24" x14ac:dyDescent="0.3">
      <c r="A25">
        <v>20</v>
      </c>
      <c r="B25" t="s">
        <v>210</v>
      </c>
      <c r="C25" t="s">
        <v>211</v>
      </c>
      <c r="D25" t="s">
        <v>155</v>
      </c>
      <c r="E25" t="s">
        <v>150</v>
      </c>
      <c r="F25" t="s">
        <v>145</v>
      </c>
      <c r="G25">
        <v>20000</v>
      </c>
      <c r="H25">
        <f t="shared" si="0"/>
        <v>6000</v>
      </c>
      <c r="I25">
        <f t="shared" si="1"/>
        <v>10400</v>
      </c>
      <c r="J25">
        <v>0</v>
      </c>
      <c r="K25">
        <v>20000</v>
      </c>
      <c r="L25">
        <f t="shared" si="2"/>
        <v>2400</v>
      </c>
      <c r="M25">
        <f t="shared" si="3"/>
        <v>0</v>
      </c>
      <c r="N25">
        <f t="shared" si="4"/>
        <v>0</v>
      </c>
      <c r="O25">
        <f t="shared" si="5"/>
        <v>3500</v>
      </c>
      <c r="P25">
        <f t="shared" si="10"/>
        <v>150</v>
      </c>
      <c r="Q25">
        <f t="shared" si="6"/>
        <v>0</v>
      </c>
      <c r="R25">
        <f t="shared" si="7"/>
        <v>0</v>
      </c>
      <c r="S25">
        <f t="shared" si="8"/>
        <v>38950</v>
      </c>
      <c r="T25">
        <f t="shared" si="9"/>
        <v>36400</v>
      </c>
    </row>
    <row r="26" spans="1:24" x14ac:dyDescent="0.3">
      <c r="L26" s="7"/>
    </row>
    <row r="27" spans="1:24" x14ac:dyDescent="0.3">
      <c r="H27" s="50"/>
      <c r="I27" s="50"/>
    </row>
    <row r="29" spans="1:24" ht="25.8" customHeight="1" x14ac:dyDescent="0.3">
      <c r="O29" s="137" t="s">
        <v>633</v>
      </c>
      <c r="P29" s="137"/>
      <c r="Q29" s="137"/>
      <c r="R29" s="137"/>
      <c r="S29" s="137"/>
    </row>
    <row r="30" spans="1:24" x14ac:dyDescent="0.3">
      <c r="O30" s="137"/>
      <c r="P30" s="137"/>
      <c r="Q30" s="137"/>
      <c r="R30" s="137"/>
      <c r="S30" s="137"/>
    </row>
    <row r="32" spans="1:24" s="50" customFormat="1" x14ac:dyDescent="0.3"/>
    <row r="33" spans="1:19" ht="25.8" x14ac:dyDescent="0.5">
      <c r="A33" s="70" t="s">
        <v>518</v>
      </c>
    </row>
    <row r="34" spans="1:19" x14ac:dyDescent="0.3">
      <c r="O34" cm="1">
        <f t="array" ref="O34">_xlfn.IFS(G6&lt;=5000,0,G6&lt;=10000,50,G6&lt;=15000,100,G6&lt;=20000,150,TRUE,200)</f>
        <v>200</v>
      </c>
    </row>
    <row r="35" spans="1:19" x14ac:dyDescent="0.3">
      <c r="B35" s="90" t="s">
        <v>249</v>
      </c>
      <c r="C35" s="90" t="s">
        <v>47</v>
      </c>
      <c r="D35" s="90"/>
      <c r="E35" s="90" t="s">
        <v>249</v>
      </c>
      <c r="F35" s="90" t="s">
        <v>47</v>
      </c>
    </row>
    <row r="36" spans="1:19" ht="14.4" customHeight="1" x14ac:dyDescent="0.3">
      <c r="B36" t="s">
        <v>519</v>
      </c>
      <c r="C36" t="s">
        <v>70</v>
      </c>
      <c r="E36">
        <v>50000</v>
      </c>
      <c r="O36" s="137" t="str">
        <f ca="1">_xlfn.FORMULATEXT(O34)</f>
        <v>=IFS(G6&lt;=5000,0,G6&lt;=10000,50,G6&lt;=15000,100,G6&lt;=20000,150,TRUE,200)</v>
      </c>
      <c r="P36" s="137"/>
      <c r="Q36" s="137"/>
      <c r="R36" s="137"/>
    </row>
    <row r="37" spans="1:19" ht="14.4" customHeight="1" x14ac:dyDescent="0.3">
      <c r="B37" t="s">
        <v>520</v>
      </c>
      <c r="C37" t="s">
        <v>69</v>
      </c>
      <c r="E37">
        <v>75000</v>
      </c>
      <c r="O37" s="137"/>
      <c r="P37" s="137"/>
      <c r="Q37" s="137"/>
      <c r="R37" s="137"/>
    </row>
    <row r="38" spans="1:19" x14ac:dyDescent="0.3">
      <c r="B38" t="s">
        <v>521</v>
      </c>
      <c r="C38" t="s">
        <v>68</v>
      </c>
      <c r="E38">
        <v>100000</v>
      </c>
    </row>
    <row r="39" spans="1:19" x14ac:dyDescent="0.3">
      <c r="B39" t="s">
        <v>522</v>
      </c>
      <c r="C39" t="s">
        <v>66</v>
      </c>
      <c r="E39">
        <v>25000</v>
      </c>
    </row>
    <row r="40" spans="1:19" x14ac:dyDescent="0.3">
      <c r="E40">
        <v>200000</v>
      </c>
    </row>
    <row r="41" spans="1:19" x14ac:dyDescent="0.3">
      <c r="E41">
        <v>150000</v>
      </c>
    </row>
    <row r="42" spans="1:19" ht="72" x14ac:dyDescent="0.35">
      <c r="H42" s="104" t="str">
        <f t="shared" ref="H42:R42" ca="1" si="11">_xlfn.FORMULATEXT(H6)</f>
        <v>=G6*30%</v>
      </c>
      <c r="I42" s="104" t="str">
        <f t="shared" ca="1" si="11"/>
        <v>=(G6+H6)*40%</v>
      </c>
      <c r="J42" s="105" t="str">
        <f t="shared" ca="1" si="11"/>
        <v>=IF(F6:F25="Marketing",5000,0)</v>
      </c>
      <c r="K42" s="105" t="str">
        <f t="shared" ca="1" si="11"/>
        <v>=IF(F6:F25="Marketing",G6:G25+5000,G6:G25)</v>
      </c>
      <c r="L42" s="105" t="str">
        <f t="shared" ca="1" si="11"/>
        <v>=G6*12%</v>
      </c>
      <c r="M42" s="105" t="str">
        <f t="shared" ca="1" si="11"/>
        <v>=IF(AND(F6="Training",E6="W"),G6*40%,0)</v>
      </c>
      <c r="N42" s="105" t="str">
        <f t="shared" ca="1" si="11"/>
        <v>=IF(OR(F6="Accounts",F6="Operation"),5000,0)</v>
      </c>
      <c r="O42" s="105" t="str">
        <f t="shared" ca="1" si="11"/>
        <v>=IF(OR(F6="Accounts",F6="operation"),0,3500)</v>
      </c>
      <c r="P42" s="105" t="str">
        <f t="shared" ca="1" si="11"/>
        <v>=IF(G6&lt;5000,0,IF(G6&lt;=10000,50,IF(G6&lt;=15000,100,IF(G6&lt;=20000,150,200))))</v>
      </c>
      <c r="Q42" s="105" t="str">
        <f t="shared" ca="1" si="11"/>
        <v>=IF(OR(D6="mumbai",D6="Delhi",D6="kolkata",D6="Chennai",D6="bangalore"),5000,0)</v>
      </c>
      <c r="R42" s="105" t="str">
        <f t="shared" ca="1" si="11"/>
        <v>=IF(OR(AND(F6="Training",E6="w"),AND(F6="Marketing",E6="N"),AND(F6="R&amp;D",E6="S"),AND(F6="accounts",E6="E")),G6*30%,0)</v>
      </c>
      <c r="S42" t="s">
        <v>634</v>
      </c>
    </row>
  </sheetData>
  <mergeCells count="4">
    <mergeCell ref="W16:W19"/>
    <mergeCell ref="X16:X19"/>
    <mergeCell ref="O29:S30"/>
    <mergeCell ref="O36:R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B89D-8B66-4B0D-99EC-44979A40AFA0}">
  <sheetPr codeName="Sheet15"/>
  <dimension ref="A1:D40"/>
  <sheetViews>
    <sheetView topLeftCell="A22" zoomScale="146" workbookViewId="0">
      <selection activeCell="A32" sqref="A32:C36"/>
    </sheetView>
  </sheetViews>
  <sheetFormatPr defaultRowHeight="14.4" x14ac:dyDescent="0.3"/>
  <cols>
    <col min="1" max="1" width="17.109375" customWidth="1"/>
  </cols>
  <sheetData>
    <row r="1" spans="1:4" ht="21" x14ac:dyDescent="0.4">
      <c r="A1" s="65" t="s">
        <v>523</v>
      </c>
      <c r="B1" s="65"/>
      <c r="C1" s="65"/>
      <c r="D1" s="17"/>
    </row>
    <row r="3" spans="1:4" x14ac:dyDescent="0.3">
      <c r="A3" t="s">
        <v>524</v>
      </c>
    </row>
    <row r="5" spans="1:4" x14ac:dyDescent="0.3">
      <c r="A5" t="s">
        <v>525</v>
      </c>
    </row>
    <row r="7" spans="1:4" x14ac:dyDescent="0.3">
      <c r="A7" t="s">
        <v>526</v>
      </c>
    </row>
    <row r="9" spans="1:4" x14ac:dyDescent="0.3">
      <c r="A9" t="s">
        <v>527</v>
      </c>
    </row>
    <row r="11" spans="1:4" x14ac:dyDescent="0.3">
      <c r="A11" t="s">
        <v>528</v>
      </c>
    </row>
    <row r="12" spans="1:4" x14ac:dyDescent="0.3">
      <c r="A12" t="s">
        <v>529</v>
      </c>
    </row>
    <row r="14" spans="1:4" x14ac:dyDescent="0.3">
      <c r="A14" t="s">
        <v>530</v>
      </c>
    </row>
    <row r="16" spans="1:4" x14ac:dyDescent="0.3">
      <c r="A16" t="s">
        <v>531</v>
      </c>
    </row>
    <row r="18" spans="1:4" x14ac:dyDescent="0.3">
      <c r="A18" t="s">
        <v>532</v>
      </c>
    </row>
    <row r="20" spans="1:4" x14ac:dyDescent="0.3">
      <c r="A20" t="s">
        <v>512</v>
      </c>
      <c r="B20">
        <v>0</v>
      </c>
    </row>
    <row r="21" spans="1:4" x14ac:dyDescent="0.3">
      <c r="A21" t="s">
        <v>513</v>
      </c>
      <c r="B21">
        <v>50</v>
      </c>
    </row>
    <row r="22" spans="1:4" x14ac:dyDescent="0.3">
      <c r="A22" t="s">
        <v>514</v>
      </c>
      <c r="B22">
        <v>100</v>
      </c>
    </row>
    <row r="23" spans="1:4" x14ac:dyDescent="0.3">
      <c r="A23" t="s">
        <v>515</v>
      </c>
      <c r="B23">
        <v>150</v>
      </c>
    </row>
    <row r="24" spans="1:4" x14ac:dyDescent="0.3">
      <c r="A24" t="s">
        <v>516</v>
      </c>
      <c r="B24">
        <v>200</v>
      </c>
    </row>
    <row r="26" spans="1:4" x14ac:dyDescent="0.3">
      <c r="A26" t="s">
        <v>533</v>
      </c>
    </row>
    <row r="27" spans="1:4" x14ac:dyDescent="0.3">
      <c r="A27" t="s">
        <v>534</v>
      </c>
    </row>
    <row r="30" spans="1:4" x14ac:dyDescent="0.3">
      <c r="A30" t="s">
        <v>535</v>
      </c>
    </row>
    <row r="32" spans="1:4" x14ac:dyDescent="0.3">
      <c r="A32" t="s">
        <v>536</v>
      </c>
      <c r="B32" t="s">
        <v>144</v>
      </c>
      <c r="C32" t="s">
        <v>517</v>
      </c>
      <c r="D32">
        <v>0</v>
      </c>
    </row>
    <row r="33" spans="1:2" x14ac:dyDescent="0.3">
      <c r="A33" t="s">
        <v>537</v>
      </c>
      <c r="B33" t="s">
        <v>150</v>
      </c>
    </row>
    <row r="34" spans="1:2" x14ac:dyDescent="0.3">
      <c r="A34" t="s">
        <v>538</v>
      </c>
      <c r="B34" t="s">
        <v>539</v>
      </c>
    </row>
    <row r="35" spans="1:2" x14ac:dyDescent="0.3">
      <c r="A35" t="s">
        <v>540</v>
      </c>
      <c r="B35" t="s">
        <v>67</v>
      </c>
    </row>
    <row r="38" spans="1:2" x14ac:dyDescent="0.3">
      <c r="A38" t="s">
        <v>541</v>
      </c>
    </row>
    <row r="40" spans="1:2" x14ac:dyDescent="0.3">
      <c r="A40" t="s">
        <v>542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CCFD-A35F-4F31-BB55-25935DA0C06D}">
  <sheetPr codeName="Sheet16"/>
  <dimension ref="A1:U41"/>
  <sheetViews>
    <sheetView tabSelected="1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4" sqref="G14"/>
    </sheetView>
  </sheetViews>
  <sheetFormatPr defaultRowHeight="14.4" x14ac:dyDescent="0.3"/>
  <cols>
    <col min="1" max="1" width="13.77734375" bestFit="1" customWidth="1"/>
    <col min="2" max="2" width="22.109375" bestFit="1" customWidth="1"/>
    <col min="3" max="3" width="11.21875" bestFit="1" customWidth="1"/>
    <col min="4" max="4" width="9.77734375" bestFit="1" customWidth="1"/>
    <col min="5" max="5" width="9.88671875" bestFit="1" customWidth="1"/>
    <col min="6" max="6" width="16.44140625" bestFit="1" customWidth="1"/>
    <col min="7" max="7" width="7.5546875" bestFit="1" customWidth="1"/>
    <col min="8" max="8" width="13.77734375" bestFit="1" customWidth="1"/>
    <col min="9" max="9" width="22.109375" bestFit="1" customWidth="1"/>
    <col min="10" max="10" width="11.21875" bestFit="1" customWidth="1"/>
    <col min="11" max="11" width="9.77734375" bestFit="1" customWidth="1"/>
    <col min="12" max="12" width="9.88671875" bestFit="1" customWidth="1"/>
    <col min="13" max="13" width="16.44140625" bestFit="1" customWidth="1"/>
    <col min="14" max="14" width="7.5546875" bestFit="1" customWidth="1"/>
    <col min="15" max="15" width="13.77734375" bestFit="1" customWidth="1"/>
    <col min="16" max="16" width="22.109375" bestFit="1" customWidth="1"/>
    <col min="17" max="17" width="11.21875" bestFit="1" customWidth="1"/>
    <col min="18" max="18" width="9.77734375" bestFit="1" customWidth="1"/>
    <col min="19" max="19" width="9.88671875" bestFit="1" customWidth="1"/>
    <col min="20" max="20" width="16.44140625" bestFit="1" customWidth="1"/>
    <col min="21" max="21" width="7.5546875" bestFit="1" customWidth="1"/>
  </cols>
  <sheetData>
    <row r="1" spans="1:21" s="108" customFormat="1" ht="21" x14ac:dyDescent="0.4">
      <c r="A1" s="107" t="s">
        <v>134</v>
      </c>
      <c r="B1" s="107" t="s">
        <v>135</v>
      </c>
      <c r="C1" s="107" t="s">
        <v>136</v>
      </c>
      <c r="D1" s="107" t="s">
        <v>137</v>
      </c>
      <c r="E1" s="107" t="s">
        <v>138</v>
      </c>
      <c r="F1" s="107" t="s">
        <v>139</v>
      </c>
      <c r="G1" s="107" t="s">
        <v>140</v>
      </c>
      <c r="H1" s="107" t="s">
        <v>134</v>
      </c>
      <c r="I1" s="107" t="s">
        <v>135</v>
      </c>
      <c r="J1" s="107" t="s">
        <v>136</v>
      </c>
      <c r="K1" s="107" t="s">
        <v>137</v>
      </c>
      <c r="L1" s="107" t="s">
        <v>138</v>
      </c>
      <c r="M1" s="107" t="s">
        <v>139</v>
      </c>
      <c r="N1" s="107" t="s">
        <v>140</v>
      </c>
      <c r="O1" s="107" t="s">
        <v>134</v>
      </c>
      <c r="P1" s="107" t="s">
        <v>135</v>
      </c>
      <c r="Q1" s="107" t="s">
        <v>136</v>
      </c>
      <c r="R1" s="107" t="s">
        <v>137</v>
      </c>
      <c r="S1" s="107" t="s">
        <v>138</v>
      </c>
      <c r="T1" s="107" t="s">
        <v>139</v>
      </c>
      <c r="U1" s="107" t="s">
        <v>140</v>
      </c>
    </row>
    <row r="2" spans="1:21" x14ac:dyDescent="0.3">
      <c r="A2">
        <v>1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>
        <v>30000</v>
      </c>
      <c r="H2">
        <v>1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>
        <v>30000</v>
      </c>
      <c r="O2">
        <v>1</v>
      </c>
      <c r="P2" t="s">
        <v>141</v>
      </c>
      <c r="Q2" t="s">
        <v>142</v>
      </c>
      <c r="R2" t="s">
        <v>143</v>
      </c>
      <c r="S2" t="s">
        <v>144</v>
      </c>
      <c r="T2" t="s">
        <v>145</v>
      </c>
      <c r="U2">
        <v>30000</v>
      </c>
    </row>
    <row r="3" spans="1:21" x14ac:dyDescent="0.3">
      <c r="A3">
        <v>2</v>
      </c>
      <c r="B3" t="s">
        <v>147</v>
      </c>
      <c r="C3" t="s">
        <v>148</v>
      </c>
      <c r="D3" t="s">
        <v>149</v>
      </c>
      <c r="E3" t="s">
        <v>150</v>
      </c>
      <c r="F3" t="s">
        <v>151</v>
      </c>
      <c r="G3">
        <v>8750</v>
      </c>
      <c r="H3">
        <v>2</v>
      </c>
      <c r="I3" t="s">
        <v>147</v>
      </c>
      <c r="J3" t="s">
        <v>148</v>
      </c>
      <c r="K3" t="s">
        <v>149</v>
      </c>
      <c r="L3" t="s">
        <v>150</v>
      </c>
      <c r="M3" t="s">
        <v>151</v>
      </c>
      <c r="N3">
        <v>8750</v>
      </c>
      <c r="O3">
        <v>2</v>
      </c>
      <c r="P3" t="s">
        <v>147</v>
      </c>
      <c r="Q3" t="s">
        <v>148</v>
      </c>
      <c r="R3" t="s">
        <v>149</v>
      </c>
      <c r="S3" t="s">
        <v>150</v>
      </c>
      <c r="T3" t="s">
        <v>151</v>
      </c>
      <c r="U3">
        <v>8750</v>
      </c>
    </row>
    <row r="4" spans="1:21" x14ac:dyDescent="0.3">
      <c r="A4">
        <v>3</v>
      </c>
      <c r="B4" t="s">
        <v>153</v>
      </c>
      <c r="C4" t="s">
        <v>154</v>
      </c>
      <c r="D4" t="s">
        <v>155</v>
      </c>
      <c r="E4" t="s">
        <v>150</v>
      </c>
      <c r="F4" t="s">
        <v>156</v>
      </c>
      <c r="G4">
        <v>11250</v>
      </c>
      <c r="H4">
        <v>3</v>
      </c>
      <c r="I4" t="s">
        <v>153</v>
      </c>
      <c r="J4" t="s">
        <v>154</v>
      </c>
      <c r="K4" t="s">
        <v>155</v>
      </c>
      <c r="L4" t="s">
        <v>150</v>
      </c>
      <c r="M4" t="s">
        <v>156</v>
      </c>
      <c r="N4">
        <v>11250</v>
      </c>
      <c r="O4">
        <v>3</v>
      </c>
      <c r="P4" t="s">
        <v>153</v>
      </c>
      <c r="Q4" t="s">
        <v>154</v>
      </c>
      <c r="R4" t="s">
        <v>155</v>
      </c>
      <c r="S4" t="s">
        <v>150</v>
      </c>
      <c r="T4" t="s">
        <v>156</v>
      </c>
      <c r="U4">
        <v>11250</v>
      </c>
    </row>
    <row r="5" spans="1:21" x14ac:dyDescent="0.3">
      <c r="A5">
        <v>4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>
        <v>10000</v>
      </c>
      <c r="H5">
        <v>4</v>
      </c>
      <c r="I5" t="s">
        <v>158</v>
      </c>
      <c r="J5" t="s">
        <v>159</v>
      </c>
      <c r="K5" t="s">
        <v>160</v>
      </c>
      <c r="L5" t="s">
        <v>161</v>
      </c>
      <c r="M5" t="s">
        <v>162</v>
      </c>
      <c r="N5">
        <v>10000</v>
      </c>
      <c r="O5">
        <v>4</v>
      </c>
      <c r="P5" t="s">
        <v>158</v>
      </c>
      <c r="Q5" t="s">
        <v>159</v>
      </c>
      <c r="R5" t="s">
        <v>160</v>
      </c>
      <c r="S5" t="s">
        <v>161</v>
      </c>
      <c r="T5" t="s">
        <v>162</v>
      </c>
      <c r="U5">
        <v>10000</v>
      </c>
    </row>
    <row r="6" spans="1:21" x14ac:dyDescent="0.3">
      <c r="A6">
        <v>5</v>
      </c>
      <c r="B6" t="s">
        <v>164</v>
      </c>
      <c r="C6" t="s">
        <v>165</v>
      </c>
      <c r="D6" t="s">
        <v>149</v>
      </c>
      <c r="E6" t="s">
        <v>150</v>
      </c>
      <c r="F6" t="s">
        <v>145</v>
      </c>
      <c r="G6">
        <v>16250</v>
      </c>
      <c r="H6">
        <v>5</v>
      </c>
      <c r="I6" t="s">
        <v>164</v>
      </c>
      <c r="J6" t="s">
        <v>165</v>
      </c>
      <c r="K6" t="s">
        <v>149</v>
      </c>
      <c r="L6" t="s">
        <v>150</v>
      </c>
      <c r="M6" t="s">
        <v>145</v>
      </c>
      <c r="N6">
        <v>16250</v>
      </c>
      <c r="O6">
        <v>5</v>
      </c>
      <c r="P6" t="s">
        <v>164</v>
      </c>
      <c r="Q6" t="s">
        <v>165</v>
      </c>
      <c r="R6" t="s">
        <v>149</v>
      </c>
      <c r="S6" t="s">
        <v>150</v>
      </c>
      <c r="T6" t="s">
        <v>145</v>
      </c>
      <c r="U6">
        <v>16250</v>
      </c>
    </row>
    <row r="7" spans="1:21" x14ac:dyDescent="0.3">
      <c r="A7">
        <v>6</v>
      </c>
      <c r="B7" t="s">
        <v>167</v>
      </c>
      <c r="C7" t="s">
        <v>168</v>
      </c>
      <c r="D7" t="s">
        <v>169</v>
      </c>
      <c r="E7" t="s">
        <v>67</v>
      </c>
      <c r="F7" t="s">
        <v>151</v>
      </c>
      <c r="G7">
        <v>6400</v>
      </c>
      <c r="H7">
        <v>6</v>
      </c>
      <c r="I7" t="s">
        <v>167</v>
      </c>
      <c r="J7" t="s">
        <v>168</v>
      </c>
      <c r="K7" t="s">
        <v>169</v>
      </c>
      <c r="L7" t="s">
        <v>67</v>
      </c>
      <c r="M7" t="s">
        <v>151</v>
      </c>
      <c r="N7">
        <v>6400</v>
      </c>
      <c r="O7">
        <v>6</v>
      </c>
      <c r="P7" t="s">
        <v>167</v>
      </c>
      <c r="Q7" t="s">
        <v>168</v>
      </c>
      <c r="R7" t="s">
        <v>169</v>
      </c>
      <c r="S7" t="s">
        <v>67</v>
      </c>
      <c r="T7" t="s">
        <v>151</v>
      </c>
      <c r="U7">
        <v>6400</v>
      </c>
    </row>
    <row r="8" spans="1:21" x14ac:dyDescent="0.3">
      <c r="A8">
        <v>7</v>
      </c>
      <c r="B8" t="s">
        <v>171</v>
      </c>
      <c r="C8" t="s">
        <v>172</v>
      </c>
      <c r="D8" t="s">
        <v>173</v>
      </c>
      <c r="E8" t="s">
        <v>67</v>
      </c>
      <c r="F8" t="s">
        <v>156</v>
      </c>
      <c r="G8">
        <v>4500</v>
      </c>
      <c r="H8">
        <v>7</v>
      </c>
      <c r="I8" t="s">
        <v>171</v>
      </c>
      <c r="J8" t="s">
        <v>172</v>
      </c>
      <c r="K8" t="s">
        <v>173</v>
      </c>
      <c r="L8" t="s">
        <v>67</v>
      </c>
      <c r="M8" t="s">
        <v>156</v>
      </c>
      <c r="N8">
        <v>4500</v>
      </c>
      <c r="O8">
        <v>7</v>
      </c>
      <c r="P8" t="s">
        <v>171</v>
      </c>
      <c r="Q8" t="s">
        <v>172</v>
      </c>
      <c r="R8" t="s">
        <v>173</v>
      </c>
      <c r="S8" t="s">
        <v>67</v>
      </c>
      <c r="T8" t="s">
        <v>156</v>
      </c>
      <c r="U8">
        <v>4500</v>
      </c>
    </row>
    <row r="9" spans="1:21" x14ac:dyDescent="0.3">
      <c r="A9">
        <v>8</v>
      </c>
      <c r="B9" t="s">
        <v>175</v>
      </c>
      <c r="C9" t="s">
        <v>176</v>
      </c>
      <c r="D9" t="s">
        <v>173</v>
      </c>
      <c r="E9" t="s">
        <v>67</v>
      </c>
      <c r="F9" t="s">
        <v>162</v>
      </c>
      <c r="G9">
        <v>6275</v>
      </c>
      <c r="H9">
        <v>8</v>
      </c>
      <c r="I9" t="s">
        <v>175</v>
      </c>
      <c r="J9" t="s">
        <v>176</v>
      </c>
      <c r="K9" t="s">
        <v>173</v>
      </c>
      <c r="L9" t="s">
        <v>67</v>
      </c>
      <c r="M9" t="s">
        <v>162</v>
      </c>
      <c r="N9">
        <v>6275</v>
      </c>
      <c r="O9">
        <v>8</v>
      </c>
      <c r="P9" t="s">
        <v>175</v>
      </c>
      <c r="Q9" t="s">
        <v>176</v>
      </c>
      <c r="R9" t="s">
        <v>173</v>
      </c>
      <c r="S9" t="s">
        <v>67</v>
      </c>
      <c r="T9" t="s">
        <v>162</v>
      </c>
      <c r="U9">
        <v>6275</v>
      </c>
    </row>
    <row r="10" spans="1:21" x14ac:dyDescent="0.3">
      <c r="A10">
        <v>9</v>
      </c>
      <c r="B10" t="s">
        <v>178</v>
      </c>
      <c r="C10" t="s">
        <v>179</v>
      </c>
      <c r="D10" t="s">
        <v>143</v>
      </c>
      <c r="E10" t="s">
        <v>144</v>
      </c>
      <c r="F10" t="s">
        <v>145</v>
      </c>
      <c r="G10">
        <v>6250</v>
      </c>
      <c r="H10">
        <v>9</v>
      </c>
      <c r="I10" t="s">
        <v>178</v>
      </c>
      <c r="J10" t="s">
        <v>179</v>
      </c>
      <c r="K10" t="s">
        <v>143</v>
      </c>
      <c r="L10" t="s">
        <v>144</v>
      </c>
      <c r="M10" t="s">
        <v>145</v>
      </c>
      <c r="N10">
        <v>6250</v>
      </c>
      <c r="O10">
        <v>9</v>
      </c>
      <c r="P10" t="s">
        <v>178</v>
      </c>
      <c r="Q10" t="s">
        <v>179</v>
      </c>
      <c r="R10" t="s">
        <v>143</v>
      </c>
      <c r="S10" t="s">
        <v>144</v>
      </c>
      <c r="T10" t="s">
        <v>145</v>
      </c>
      <c r="U10">
        <v>6250</v>
      </c>
    </row>
    <row r="11" spans="1:21" x14ac:dyDescent="0.3">
      <c r="A11">
        <v>10</v>
      </c>
      <c r="B11" t="s">
        <v>180</v>
      </c>
      <c r="C11" t="s">
        <v>181</v>
      </c>
      <c r="D11" t="s">
        <v>182</v>
      </c>
      <c r="E11" t="s">
        <v>161</v>
      </c>
      <c r="F11" t="s">
        <v>151</v>
      </c>
      <c r="G11">
        <v>8750</v>
      </c>
      <c r="H11">
        <v>10</v>
      </c>
      <c r="I11" t="s">
        <v>180</v>
      </c>
      <c r="J11" t="s">
        <v>181</v>
      </c>
      <c r="K11" t="s">
        <v>182</v>
      </c>
      <c r="L11" t="s">
        <v>161</v>
      </c>
      <c r="M11" t="s">
        <v>151</v>
      </c>
      <c r="N11">
        <v>8750</v>
      </c>
      <c r="O11">
        <v>10</v>
      </c>
      <c r="P11" t="s">
        <v>180</v>
      </c>
      <c r="Q11" t="s">
        <v>181</v>
      </c>
      <c r="R11" t="s">
        <v>182</v>
      </c>
      <c r="S11" t="s">
        <v>161</v>
      </c>
      <c r="T11" t="s">
        <v>151</v>
      </c>
      <c r="U11">
        <v>8750</v>
      </c>
    </row>
    <row r="12" spans="1:21" x14ac:dyDescent="0.3">
      <c r="A12">
        <v>11</v>
      </c>
      <c r="B12" t="s">
        <v>184</v>
      </c>
      <c r="C12" t="s">
        <v>185</v>
      </c>
      <c r="D12" t="s">
        <v>182</v>
      </c>
      <c r="E12" t="s">
        <v>161</v>
      </c>
      <c r="F12" t="s">
        <v>156</v>
      </c>
      <c r="G12">
        <v>11250</v>
      </c>
      <c r="H12">
        <v>11</v>
      </c>
      <c r="I12" t="s">
        <v>184</v>
      </c>
      <c r="J12" t="s">
        <v>185</v>
      </c>
      <c r="K12" t="s">
        <v>182</v>
      </c>
      <c r="L12" t="s">
        <v>161</v>
      </c>
      <c r="M12" t="s">
        <v>156</v>
      </c>
      <c r="N12">
        <v>11250</v>
      </c>
      <c r="O12">
        <v>11</v>
      </c>
      <c r="P12" t="s">
        <v>184</v>
      </c>
      <c r="Q12" t="s">
        <v>185</v>
      </c>
      <c r="R12" t="s">
        <v>182</v>
      </c>
      <c r="S12" t="s">
        <v>161</v>
      </c>
      <c r="T12" t="s">
        <v>156</v>
      </c>
      <c r="U12">
        <v>11250</v>
      </c>
    </row>
    <row r="13" spans="1:21" x14ac:dyDescent="0.3">
      <c r="A13">
        <v>12</v>
      </c>
      <c r="B13" t="s">
        <v>187</v>
      </c>
      <c r="C13" t="s">
        <v>188</v>
      </c>
      <c r="D13" t="s">
        <v>189</v>
      </c>
      <c r="E13" t="s">
        <v>161</v>
      </c>
      <c r="F13" t="s">
        <v>162</v>
      </c>
      <c r="G13">
        <v>10000</v>
      </c>
      <c r="H13">
        <v>12</v>
      </c>
      <c r="I13" t="s">
        <v>187</v>
      </c>
      <c r="J13" t="s">
        <v>188</v>
      </c>
      <c r="K13" t="s">
        <v>189</v>
      </c>
      <c r="L13" t="s">
        <v>161</v>
      </c>
      <c r="M13" t="s">
        <v>162</v>
      </c>
      <c r="N13">
        <v>10000</v>
      </c>
      <c r="O13">
        <v>12</v>
      </c>
      <c r="P13" t="s">
        <v>187</v>
      </c>
      <c r="Q13" t="s">
        <v>188</v>
      </c>
      <c r="R13" t="s">
        <v>189</v>
      </c>
      <c r="S13" t="s">
        <v>161</v>
      </c>
      <c r="T13" t="s">
        <v>162</v>
      </c>
      <c r="U13">
        <v>10000</v>
      </c>
    </row>
    <row r="14" spans="1:21" x14ac:dyDescent="0.3">
      <c r="A14">
        <v>13</v>
      </c>
      <c r="B14" t="s">
        <v>190</v>
      </c>
      <c r="C14" t="s">
        <v>148</v>
      </c>
      <c r="D14" t="s">
        <v>191</v>
      </c>
      <c r="E14" t="s">
        <v>161</v>
      </c>
      <c r="F14" t="s">
        <v>145</v>
      </c>
      <c r="G14">
        <v>16250</v>
      </c>
      <c r="H14">
        <v>13</v>
      </c>
      <c r="I14" t="s">
        <v>190</v>
      </c>
      <c r="J14" t="s">
        <v>148</v>
      </c>
      <c r="K14" t="s">
        <v>191</v>
      </c>
      <c r="L14" t="s">
        <v>161</v>
      </c>
      <c r="M14" t="s">
        <v>145</v>
      </c>
      <c r="N14">
        <v>16250</v>
      </c>
      <c r="O14">
        <v>13</v>
      </c>
      <c r="P14" t="s">
        <v>190</v>
      </c>
      <c r="Q14" t="s">
        <v>148</v>
      </c>
      <c r="R14" t="s">
        <v>191</v>
      </c>
      <c r="S14" t="s">
        <v>161</v>
      </c>
      <c r="T14" t="s">
        <v>145</v>
      </c>
      <c r="U14">
        <v>16250</v>
      </c>
    </row>
    <row r="15" spans="1:21" x14ac:dyDescent="0.3">
      <c r="A15">
        <v>14</v>
      </c>
      <c r="B15" t="s">
        <v>193</v>
      </c>
      <c r="C15" t="s">
        <v>154</v>
      </c>
      <c r="D15" t="s">
        <v>189</v>
      </c>
      <c r="E15" t="s">
        <v>161</v>
      </c>
      <c r="F15" t="s">
        <v>151</v>
      </c>
      <c r="G15">
        <v>6400</v>
      </c>
      <c r="H15">
        <v>14</v>
      </c>
      <c r="I15" t="s">
        <v>193</v>
      </c>
      <c r="J15" t="s">
        <v>154</v>
      </c>
      <c r="K15" t="s">
        <v>189</v>
      </c>
      <c r="L15" t="s">
        <v>161</v>
      </c>
      <c r="M15" t="s">
        <v>151</v>
      </c>
      <c r="N15">
        <v>6400</v>
      </c>
      <c r="O15">
        <v>14</v>
      </c>
      <c r="P15" t="s">
        <v>193</v>
      </c>
      <c r="Q15" t="s">
        <v>154</v>
      </c>
      <c r="R15" t="s">
        <v>189</v>
      </c>
      <c r="S15" t="s">
        <v>161</v>
      </c>
      <c r="T15" t="s">
        <v>151</v>
      </c>
      <c r="U15">
        <v>6400</v>
      </c>
    </row>
    <row r="16" spans="1:21" x14ac:dyDescent="0.3">
      <c r="A16">
        <v>15</v>
      </c>
      <c r="B16" t="s">
        <v>195</v>
      </c>
      <c r="C16" t="s">
        <v>196</v>
      </c>
      <c r="D16" t="s">
        <v>149</v>
      </c>
      <c r="E16" t="s">
        <v>150</v>
      </c>
      <c r="F16" t="s">
        <v>156</v>
      </c>
      <c r="G16">
        <v>4500</v>
      </c>
      <c r="H16">
        <v>15</v>
      </c>
      <c r="I16" t="s">
        <v>195</v>
      </c>
      <c r="J16" t="s">
        <v>196</v>
      </c>
      <c r="K16" t="s">
        <v>149</v>
      </c>
      <c r="L16" t="s">
        <v>150</v>
      </c>
      <c r="M16" t="s">
        <v>156</v>
      </c>
      <c r="N16">
        <v>4500</v>
      </c>
      <c r="O16">
        <v>15</v>
      </c>
      <c r="P16" t="s">
        <v>195</v>
      </c>
      <c r="Q16" t="s">
        <v>196</v>
      </c>
      <c r="R16" t="s">
        <v>149</v>
      </c>
      <c r="S16" t="s">
        <v>150</v>
      </c>
      <c r="T16" t="s">
        <v>156</v>
      </c>
      <c r="U16">
        <v>4500</v>
      </c>
    </row>
    <row r="17" spans="1:21" x14ac:dyDescent="0.3">
      <c r="A17">
        <v>16</v>
      </c>
      <c r="B17" t="s">
        <v>198</v>
      </c>
      <c r="C17" t="s">
        <v>176</v>
      </c>
      <c r="D17" t="s">
        <v>189</v>
      </c>
      <c r="E17" t="s">
        <v>161</v>
      </c>
      <c r="F17" t="s">
        <v>162</v>
      </c>
      <c r="G17">
        <v>6275</v>
      </c>
      <c r="H17">
        <v>16</v>
      </c>
      <c r="I17" t="s">
        <v>198</v>
      </c>
      <c r="J17" t="s">
        <v>176</v>
      </c>
      <c r="K17" t="s">
        <v>189</v>
      </c>
      <c r="L17" t="s">
        <v>161</v>
      </c>
      <c r="M17" t="s">
        <v>162</v>
      </c>
      <c r="N17">
        <v>6275</v>
      </c>
      <c r="O17">
        <v>16</v>
      </c>
      <c r="P17" t="s">
        <v>198</v>
      </c>
      <c r="Q17" t="s">
        <v>176</v>
      </c>
      <c r="R17" t="s">
        <v>189</v>
      </c>
      <c r="S17" t="s">
        <v>161</v>
      </c>
      <c r="T17" t="s">
        <v>162</v>
      </c>
      <c r="U17">
        <v>6275</v>
      </c>
    </row>
    <row r="18" spans="1:21" x14ac:dyDescent="0.3">
      <c r="A18">
        <v>17</v>
      </c>
      <c r="B18" t="s">
        <v>200</v>
      </c>
      <c r="C18" t="s">
        <v>201</v>
      </c>
      <c r="D18" t="s">
        <v>143</v>
      </c>
      <c r="E18" t="s">
        <v>144</v>
      </c>
      <c r="F18" t="s">
        <v>202</v>
      </c>
      <c r="G18">
        <v>6250</v>
      </c>
      <c r="H18">
        <v>17</v>
      </c>
      <c r="I18" t="s">
        <v>200</v>
      </c>
      <c r="J18" t="s">
        <v>201</v>
      </c>
      <c r="K18" t="s">
        <v>143</v>
      </c>
      <c r="L18" t="s">
        <v>144</v>
      </c>
      <c r="M18" t="s">
        <v>202</v>
      </c>
      <c r="N18">
        <v>6250</v>
      </c>
      <c r="O18">
        <v>17</v>
      </c>
      <c r="P18" t="s">
        <v>200</v>
      </c>
      <c r="Q18" t="s">
        <v>201</v>
      </c>
      <c r="R18" t="s">
        <v>143</v>
      </c>
      <c r="S18" t="s">
        <v>144</v>
      </c>
      <c r="T18" t="s">
        <v>202</v>
      </c>
      <c r="U18">
        <v>6250</v>
      </c>
    </row>
    <row r="19" spans="1:21" x14ac:dyDescent="0.3">
      <c r="A19">
        <v>18</v>
      </c>
      <c r="B19" t="s">
        <v>204</v>
      </c>
      <c r="C19" t="s">
        <v>205</v>
      </c>
      <c r="D19" t="s">
        <v>143</v>
      </c>
      <c r="E19" t="s">
        <v>144</v>
      </c>
      <c r="F19" t="s">
        <v>162</v>
      </c>
      <c r="G19">
        <v>8750</v>
      </c>
      <c r="H19">
        <v>18</v>
      </c>
      <c r="I19" t="s">
        <v>204</v>
      </c>
      <c r="J19" t="s">
        <v>205</v>
      </c>
      <c r="K19" t="s">
        <v>143</v>
      </c>
      <c r="L19" t="s">
        <v>144</v>
      </c>
      <c r="M19" t="s">
        <v>162</v>
      </c>
      <c r="N19">
        <v>8750</v>
      </c>
      <c r="O19">
        <v>18</v>
      </c>
      <c r="P19" t="s">
        <v>204</v>
      </c>
      <c r="Q19" t="s">
        <v>205</v>
      </c>
      <c r="R19" t="s">
        <v>143</v>
      </c>
      <c r="S19" t="s">
        <v>144</v>
      </c>
      <c r="T19" t="s">
        <v>162</v>
      </c>
      <c r="U19">
        <v>8750</v>
      </c>
    </row>
    <row r="20" spans="1:21" x14ac:dyDescent="0.3">
      <c r="A20">
        <v>19</v>
      </c>
      <c r="B20" t="s">
        <v>207</v>
      </c>
      <c r="C20" t="s">
        <v>208</v>
      </c>
      <c r="D20" t="s">
        <v>209</v>
      </c>
      <c r="E20" t="s">
        <v>144</v>
      </c>
      <c r="F20" t="s">
        <v>202</v>
      </c>
      <c r="G20">
        <v>11250</v>
      </c>
      <c r="H20">
        <v>19</v>
      </c>
      <c r="I20" t="s">
        <v>207</v>
      </c>
      <c r="J20" t="s">
        <v>208</v>
      </c>
      <c r="K20" t="s">
        <v>209</v>
      </c>
      <c r="L20" t="s">
        <v>144</v>
      </c>
      <c r="M20" t="s">
        <v>202</v>
      </c>
      <c r="N20">
        <v>11250</v>
      </c>
      <c r="O20">
        <v>19</v>
      </c>
      <c r="P20" t="s">
        <v>207</v>
      </c>
      <c r="Q20" t="s">
        <v>208</v>
      </c>
      <c r="R20" t="s">
        <v>209</v>
      </c>
      <c r="S20" t="s">
        <v>144</v>
      </c>
      <c r="T20" t="s">
        <v>202</v>
      </c>
      <c r="U20">
        <v>11250</v>
      </c>
    </row>
    <row r="21" spans="1:21" x14ac:dyDescent="0.3">
      <c r="A21">
        <v>20</v>
      </c>
      <c r="B21" t="s">
        <v>210</v>
      </c>
      <c r="C21" t="s">
        <v>211</v>
      </c>
      <c r="D21" t="s">
        <v>155</v>
      </c>
      <c r="E21" t="s">
        <v>150</v>
      </c>
      <c r="F21" t="s">
        <v>145</v>
      </c>
      <c r="G21">
        <v>20000</v>
      </c>
      <c r="H21">
        <v>20</v>
      </c>
      <c r="I21" t="s">
        <v>210</v>
      </c>
      <c r="J21" t="s">
        <v>211</v>
      </c>
      <c r="K21" t="s">
        <v>155</v>
      </c>
      <c r="L21" t="s">
        <v>150</v>
      </c>
      <c r="M21" t="s">
        <v>145</v>
      </c>
      <c r="N21">
        <v>20000</v>
      </c>
      <c r="O21">
        <v>20</v>
      </c>
      <c r="P21" t="s">
        <v>210</v>
      </c>
      <c r="Q21" t="s">
        <v>211</v>
      </c>
      <c r="R21" t="s">
        <v>155</v>
      </c>
      <c r="S21" t="s">
        <v>150</v>
      </c>
      <c r="T21" t="s">
        <v>145</v>
      </c>
      <c r="U21">
        <v>20000</v>
      </c>
    </row>
    <row r="22" spans="1:21" x14ac:dyDescent="0.3">
      <c r="A22">
        <v>1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>
        <v>30000</v>
      </c>
      <c r="H22">
        <v>1</v>
      </c>
      <c r="I22" t="s">
        <v>141</v>
      </c>
      <c r="J22" t="s">
        <v>142</v>
      </c>
      <c r="K22" t="s">
        <v>143</v>
      </c>
      <c r="L22" t="s">
        <v>144</v>
      </c>
      <c r="M22" t="s">
        <v>145</v>
      </c>
      <c r="N22">
        <v>30000</v>
      </c>
      <c r="O22">
        <v>1</v>
      </c>
      <c r="P22" t="s">
        <v>141</v>
      </c>
      <c r="Q22" t="s">
        <v>142</v>
      </c>
      <c r="R22" t="s">
        <v>143</v>
      </c>
      <c r="S22" t="s">
        <v>144</v>
      </c>
      <c r="T22" t="s">
        <v>145</v>
      </c>
      <c r="U22">
        <v>30000</v>
      </c>
    </row>
    <row r="23" spans="1:21" x14ac:dyDescent="0.3">
      <c r="A23">
        <v>2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>
        <v>8750</v>
      </c>
      <c r="H23">
        <v>2</v>
      </c>
      <c r="I23" t="s">
        <v>147</v>
      </c>
      <c r="J23" t="s">
        <v>148</v>
      </c>
      <c r="K23" t="s">
        <v>149</v>
      </c>
      <c r="L23" t="s">
        <v>150</v>
      </c>
      <c r="M23" t="s">
        <v>151</v>
      </c>
      <c r="N23">
        <v>8750</v>
      </c>
      <c r="O23">
        <v>2</v>
      </c>
      <c r="P23" t="s">
        <v>147</v>
      </c>
      <c r="Q23" t="s">
        <v>148</v>
      </c>
      <c r="R23" t="s">
        <v>149</v>
      </c>
      <c r="S23" t="s">
        <v>150</v>
      </c>
      <c r="T23" t="s">
        <v>151</v>
      </c>
      <c r="U23">
        <v>8750</v>
      </c>
    </row>
    <row r="24" spans="1:21" x14ac:dyDescent="0.3">
      <c r="A24">
        <v>3</v>
      </c>
      <c r="B24" t="s">
        <v>153</v>
      </c>
      <c r="C24" t="s">
        <v>154</v>
      </c>
      <c r="D24" t="s">
        <v>155</v>
      </c>
      <c r="E24" t="s">
        <v>150</v>
      </c>
      <c r="F24" t="s">
        <v>156</v>
      </c>
      <c r="G24">
        <v>11250</v>
      </c>
      <c r="H24">
        <v>3</v>
      </c>
      <c r="I24" t="s">
        <v>153</v>
      </c>
      <c r="J24" t="s">
        <v>154</v>
      </c>
      <c r="K24" t="s">
        <v>155</v>
      </c>
      <c r="L24" t="s">
        <v>150</v>
      </c>
      <c r="M24" t="s">
        <v>156</v>
      </c>
      <c r="N24">
        <v>11250</v>
      </c>
      <c r="O24">
        <v>3</v>
      </c>
      <c r="P24" t="s">
        <v>153</v>
      </c>
      <c r="Q24" t="s">
        <v>154</v>
      </c>
      <c r="R24" t="s">
        <v>155</v>
      </c>
      <c r="S24" t="s">
        <v>150</v>
      </c>
      <c r="T24" t="s">
        <v>156</v>
      </c>
      <c r="U24">
        <v>11250</v>
      </c>
    </row>
    <row r="25" spans="1:21" x14ac:dyDescent="0.3">
      <c r="A25">
        <v>4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>
        <v>10000</v>
      </c>
      <c r="H25">
        <v>4</v>
      </c>
      <c r="I25" t="s">
        <v>158</v>
      </c>
      <c r="J25" t="s">
        <v>159</v>
      </c>
      <c r="K25" t="s">
        <v>160</v>
      </c>
      <c r="L25" t="s">
        <v>161</v>
      </c>
      <c r="M25" t="s">
        <v>162</v>
      </c>
      <c r="N25">
        <v>10000</v>
      </c>
      <c r="O25">
        <v>4</v>
      </c>
      <c r="P25" t="s">
        <v>158</v>
      </c>
      <c r="Q25" t="s">
        <v>159</v>
      </c>
      <c r="R25" t="s">
        <v>160</v>
      </c>
      <c r="S25" t="s">
        <v>161</v>
      </c>
      <c r="T25" t="s">
        <v>162</v>
      </c>
      <c r="U25">
        <v>10000</v>
      </c>
    </row>
    <row r="26" spans="1:21" x14ac:dyDescent="0.3">
      <c r="A26">
        <v>5</v>
      </c>
      <c r="B26" t="s">
        <v>164</v>
      </c>
      <c r="C26" t="s">
        <v>165</v>
      </c>
      <c r="D26" t="s">
        <v>149</v>
      </c>
      <c r="E26" t="s">
        <v>150</v>
      </c>
      <c r="F26" t="s">
        <v>145</v>
      </c>
      <c r="G26">
        <v>16250</v>
      </c>
      <c r="H26">
        <v>5</v>
      </c>
      <c r="I26" t="s">
        <v>164</v>
      </c>
      <c r="J26" t="s">
        <v>165</v>
      </c>
      <c r="K26" t="s">
        <v>149</v>
      </c>
      <c r="L26" t="s">
        <v>150</v>
      </c>
      <c r="M26" t="s">
        <v>145</v>
      </c>
      <c r="N26">
        <v>16250</v>
      </c>
      <c r="O26">
        <v>5</v>
      </c>
      <c r="P26" t="s">
        <v>164</v>
      </c>
      <c r="Q26" t="s">
        <v>165</v>
      </c>
      <c r="R26" t="s">
        <v>149</v>
      </c>
      <c r="S26" t="s">
        <v>150</v>
      </c>
      <c r="T26" t="s">
        <v>145</v>
      </c>
      <c r="U26">
        <v>16250</v>
      </c>
    </row>
    <row r="27" spans="1:21" x14ac:dyDescent="0.3">
      <c r="A27">
        <v>6</v>
      </c>
      <c r="B27" t="s">
        <v>167</v>
      </c>
      <c r="C27" t="s">
        <v>168</v>
      </c>
      <c r="D27" t="s">
        <v>169</v>
      </c>
      <c r="E27" t="s">
        <v>67</v>
      </c>
      <c r="F27" t="s">
        <v>151</v>
      </c>
      <c r="G27">
        <v>6400</v>
      </c>
      <c r="H27">
        <v>6</v>
      </c>
      <c r="I27" t="s">
        <v>167</v>
      </c>
      <c r="J27" t="s">
        <v>168</v>
      </c>
      <c r="K27" t="s">
        <v>169</v>
      </c>
      <c r="L27" t="s">
        <v>67</v>
      </c>
      <c r="M27" t="s">
        <v>151</v>
      </c>
      <c r="N27">
        <v>6400</v>
      </c>
      <c r="O27">
        <v>6</v>
      </c>
      <c r="P27" t="s">
        <v>167</v>
      </c>
      <c r="Q27" t="s">
        <v>168</v>
      </c>
      <c r="R27" t="s">
        <v>169</v>
      </c>
      <c r="S27" t="s">
        <v>67</v>
      </c>
      <c r="T27" t="s">
        <v>151</v>
      </c>
      <c r="U27">
        <v>6400</v>
      </c>
    </row>
    <row r="28" spans="1:21" x14ac:dyDescent="0.3">
      <c r="A28">
        <v>7</v>
      </c>
      <c r="B28" t="s">
        <v>171</v>
      </c>
      <c r="C28" t="s">
        <v>172</v>
      </c>
      <c r="D28" t="s">
        <v>173</v>
      </c>
      <c r="E28" t="s">
        <v>67</v>
      </c>
      <c r="F28" t="s">
        <v>156</v>
      </c>
      <c r="G28">
        <v>4500</v>
      </c>
      <c r="H28">
        <v>7</v>
      </c>
      <c r="I28" t="s">
        <v>171</v>
      </c>
      <c r="J28" t="s">
        <v>172</v>
      </c>
      <c r="K28" t="s">
        <v>173</v>
      </c>
      <c r="L28" t="s">
        <v>67</v>
      </c>
      <c r="M28" t="s">
        <v>156</v>
      </c>
      <c r="N28">
        <v>4500</v>
      </c>
      <c r="O28">
        <v>7</v>
      </c>
      <c r="P28" t="s">
        <v>171</v>
      </c>
      <c r="Q28" t="s">
        <v>172</v>
      </c>
      <c r="R28" t="s">
        <v>173</v>
      </c>
      <c r="S28" t="s">
        <v>67</v>
      </c>
      <c r="T28" t="s">
        <v>156</v>
      </c>
      <c r="U28">
        <v>4500</v>
      </c>
    </row>
    <row r="29" spans="1:21" x14ac:dyDescent="0.3">
      <c r="A29">
        <v>8</v>
      </c>
      <c r="B29" t="s">
        <v>175</v>
      </c>
      <c r="C29" t="s">
        <v>176</v>
      </c>
      <c r="D29" t="s">
        <v>173</v>
      </c>
      <c r="E29" t="s">
        <v>67</v>
      </c>
      <c r="F29" t="s">
        <v>162</v>
      </c>
      <c r="G29">
        <v>6275</v>
      </c>
      <c r="H29">
        <v>8</v>
      </c>
      <c r="I29" t="s">
        <v>175</v>
      </c>
      <c r="J29" t="s">
        <v>176</v>
      </c>
      <c r="K29" t="s">
        <v>173</v>
      </c>
      <c r="L29" t="s">
        <v>67</v>
      </c>
      <c r="M29" t="s">
        <v>162</v>
      </c>
      <c r="N29">
        <v>6275</v>
      </c>
      <c r="O29">
        <v>8</v>
      </c>
      <c r="P29" t="s">
        <v>175</v>
      </c>
      <c r="Q29" t="s">
        <v>176</v>
      </c>
      <c r="R29" t="s">
        <v>173</v>
      </c>
      <c r="S29" t="s">
        <v>67</v>
      </c>
      <c r="T29" t="s">
        <v>162</v>
      </c>
      <c r="U29">
        <v>6275</v>
      </c>
    </row>
    <row r="30" spans="1:21" x14ac:dyDescent="0.3">
      <c r="A30">
        <v>9</v>
      </c>
      <c r="B30" t="s">
        <v>178</v>
      </c>
      <c r="C30" t="s">
        <v>179</v>
      </c>
      <c r="D30" t="s">
        <v>143</v>
      </c>
      <c r="E30" t="s">
        <v>144</v>
      </c>
      <c r="F30" t="s">
        <v>145</v>
      </c>
      <c r="G30">
        <v>6250</v>
      </c>
      <c r="H30">
        <v>9</v>
      </c>
      <c r="I30" t="s">
        <v>178</v>
      </c>
      <c r="J30" t="s">
        <v>179</v>
      </c>
      <c r="K30" t="s">
        <v>143</v>
      </c>
      <c r="L30" t="s">
        <v>144</v>
      </c>
      <c r="M30" t="s">
        <v>145</v>
      </c>
      <c r="N30">
        <v>6250</v>
      </c>
      <c r="O30">
        <v>9</v>
      </c>
      <c r="P30" t="s">
        <v>178</v>
      </c>
      <c r="Q30" t="s">
        <v>179</v>
      </c>
      <c r="R30" t="s">
        <v>143</v>
      </c>
      <c r="S30" t="s">
        <v>144</v>
      </c>
      <c r="T30" t="s">
        <v>145</v>
      </c>
      <c r="U30">
        <v>6250</v>
      </c>
    </row>
    <row r="31" spans="1:21" x14ac:dyDescent="0.3">
      <c r="A31">
        <v>10</v>
      </c>
      <c r="B31" t="s">
        <v>180</v>
      </c>
      <c r="C31" t="s">
        <v>181</v>
      </c>
      <c r="D31" t="s">
        <v>182</v>
      </c>
      <c r="E31" t="s">
        <v>161</v>
      </c>
      <c r="F31" t="s">
        <v>151</v>
      </c>
      <c r="G31">
        <v>8750</v>
      </c>
      <c r="H31">
        <v>10</v>
      </c>
      <c r="I31" t="s">
        <v>180</v>
      </c>
      <c r="J31" t="s">
        <v>181</v>
      </c>
      <c r="K31" t="s">
        <v>182</v>
      </c>
      <c r="L31" t="s">
        <v>161</v>
      </c>
      <c r="M31" t="s">
        <v>151</v>
      </c>
      <c r="N31">
        <v>8750</v>
      </c>
      <c r="O31">
        <v>10</v>
      </c>
      <c r="P31" t="s">
        <v>180</v>
      </c>
      <c r="Q31" t="s">
        <v>181</v>
      </c>
      <c r="R31" t="s">
        <v>182</v>
      </c>
      <c r="S31" t="s">
        <v>161</v>
      </c>
      <c r="T31" t="s">
        <v>151</v>
      </c>
      <c r="U31">
        <v>8750</v>
      </c>
    </row>
    <row r="32" spans="1:21" x14ac:dyDescent="0.3">
      <c r="A32">
        <v>11</v>
      </c>
      <c r="B32" t="s">
        <v>184</v>
      </c>
      <c r="C32" t="s">
        <v>185</v>
      </c>
      <c r="D32" t="s">
        <v>182</v>
      </c>
      <c r="E32" t="s">
        <v>161</v>
      </c>
      <c r="F32" t="s">
        <v>156</v>
      </c>
      <c r="G32">
        <v>11250</v>
      </c>
      <c r="H32">
        <v>11</v>
      </c>
      <c r="I32" t="s">
        <v>184</v>
      </c>
      <c r="J32" t="s">
        <v>185</v>
      </c>
      <c r="K32" t="s">
        <v>182</v>
      </c>
      <c r="L32" t="s">
        <v>161</v>
      </c>
      <c r="M32" t="s">
        <v>156</v>
      </c>
      <c r="N32">
        <v>11250</v>
      </c>
      <c r="O32">
        <v>11</v>
      </c>
      <c r="P32" t="s">
        <v>184</v>
      </c>
      <c r="Q32" t="s">
        <v>185</v>
      </c>
      <c r="R32" t="s">
        <v>182</v>
      </c>
      <c r="S32" t="s">
        <v>161</v>
      </c>
      <c r="T32" t="s">
        <v>156</v>
      </c>
      <c r="U32">
        <v>11250</v>
      </c>
    </row>
    <row r="33" spans="1:21" x14ac:dyDescent="0.3">
      <c r="A33">
        <v>12</v>
      </c>
      <c r="B33" t="s">
        <v>187</v>
      </c>
      <c r="C33" t="s">
        <v>188</v>
      </c>
      <c r="D33" t="s">
        <v>189</v>
      </c>
      <c r="E33" t="s">
        <v>161</v>
      </c>
      <c r="F33" t="s">
        <v>162</v>
      </c>
      <c r="G33">
        <v>10000</v>
      </c>
      <c r="H33">
        <v>12</v>
      </c>
      <c r="I33" t="s">
        <v>187</v>
      </c>
      <c r="J33" t="s">
        <v>188</v>
      </c>
      <c r="K33" t="s">
        <v>189</v>
      </c>
      <c r="L33" t="s">
        <v>161</v>
      </c>
      <c r="M33" t="s">
        <v>162</v>
      </c>
      <c r="N33">
        <v>10000</v>
      </c>
      <c r="O33">
        <v>12</v>
      </c>
      <c r="P33" t="s">
        <v>187</v>
      </c>
      <c r="Q33" t="s">
        <v>188</v>
      </c>
      <c r="R33" t="s">
        <v>189</v>
      </c>
      <c r="S33" t="s">
        <v>161</v>
      </c>
      <c r="T33" t="s">
        <v>162</v>
      </c>
      <c r="U33">
        <v>10000</v>
      </c>
    </row>
    <row r="34" spans="1:21" x14ac:dyDescent="0.3">
      <c r="A34">
        <v>13</v>
      </c>
      <c r="B34" t="s">
        <v>190</v>
      </c>
      <c r="C34" t="s">
        <v>148</v>
      </c>
      <c r="D34" t="s">
        <v>191</v>
      </c>
      <c r="E34" t="s">
        <v>161</v>
      </c>
      <c r="F34" t="s">
        <v>145</v>
      </c>
      <c r="G34">
        <v>16250</v>
      </c>
      <c r="H34">
        <v>13</v>
      </c>
      <c r="I34" t="s">
        <v>190</v>
      </c>
      <c r="J34" t="s">
        <v>148</v>
      </c>
      <c r="K34" t="s">
        <v>191</v>
      </c>
      <c r="L34" t="s">
        <v>161</v>
      </c>
      <c r="M34" t="s">
        <v>145</v>
      </c>
      <c r="N34">
        <v>16250</v>
      </c>
      <c r="O34">
        <v>13</v>
      </c>
      <c r="P34" t="s">
        <v>190</v>
      </c>
      <c r="Q34" t="s">
        <v>148</v>
      </c>
      <c r="R34" t="s">
        <v>191</v>
      </c>
      <c r="S34" t="s">
        <v>161</v>
      </c>
      <c r="T34" t="s">
        <v>145</v>
      </c>
      <c r="U34">
        <v>16250</v>
      </c>
    </row>
    <row r="35" spans="1:21" x14ac:dyDescent="0.3">
      <c r="A35">
        <v>14</v>
      </c>
      <c r="B35" t="s">
        <v>193</v>
      </c>
      <c r="C35" t="s">
        <v>154</v>
      </c>
      <c r="D35" t="s">
        <v>189</v>
      </c>
      <c r="E35" t="s">
        <v>161</v>
      </c>
      <c r="F35" t="s">
        <v>151</v>
      </c>
      <c r="G35">
        <v>6400</v>
      </c>
      <c r="H35">
        <v>14</v>
      </c>
      <c r="I35" t="s">
        <v>193</v>
      </c>
      <c r="J35" t="s">
        <v>154</v>
      </c>
      <c r="K35" t="s">
        <v>189</v>
      </c>
      <c r="L35" t="s">
        <v>161</v>
      </c>
      <c r="M35" t="s">
        <v>151</v>
      </c>
      <c r="N35">
        <v>6400</v>
      </c>
      <c r="O35">
        <v>14</v>
      </c>
      <c r="P35" t="s">
        <v>193</v>
      </c>
      <c r="Q35" t="s">
        <v>154</v>
      </c>
      <c r="R35" t="s">
        <v>189</v>
      </c>
      <c r="S35" t="s">
        <v>161</v>
      </c>
      <c r="T35" t="s">
        <v>151</v>
      </c>
      <c r="U35">
        <v>6400</v>
      </c>
    </row>
    <row r="36" spans="1:21" x14ac:dyDescent="0.3">
      <c r="A36">
        <v>15</v>
      </c>
      <c r="B36" t="s">
        <v>195</v>
      </c>
      <c r="C36" t="s">
        <v>196</v>
      </c>
      <c r="D36" t="s">
        <v>149</v>
      </c>
      <c r="E36" t="s">
        <v>150</v>
      </c>
      <c r="F36" t="s">
        <v>156</v>
      </c>
      <c r="G36">
        <v>4500</v>
      </c>
      <c r="H36">
        <v>15</v>
      </c>
      <c r="I36" t="s">
        <v>195</v>
      </c>
      <c r="J36" t="s">
        <v>196</v>
      </c>
      <c r="K36" t="s">
        <v>149</v>
      </c>
      <c r="L36" t="s">
        <v>150</v>
      </c>
      <c r="M36" t="s">
        <v>156</v>
      </c>
      <c r="N36">
        <v>4500</v>
      </c>
      <c r="O36">
        <v>15</v>
      </c>
      <c r="P36" t="s">
        <v>195</v>
      </c>
      <c r="Q36" t="s">
        <v>196</v>
      </c>
      <c r="R36" t="s">
        <v>149</v>
      </c>
      <c r="S36" t="s">
        <v>150</v>
      </c>
      <c r="T36" t="s">
        <v>156</v>
      </c>
      <c r="U36">
        <v>4500</v>
      </c>
    </row>
    <row r="37" spans="1:21" x14ac:dyDescent="0.3">
      <c r="A37">
        <v>16</v>
      </c>
      <c r="B37" t="s">
        <v>198</v>
      </c>
      <c r="C37" t="s">
        <v>176</v>
      </c>
      <c r="D37" t="s">
        <v>189</v>
      </c>
      <c r="E37" t="s">
        <v>161</v>
      </c>
      <c r="F37" t="s">
        <v>162</v>
      </c>
      <c r="G37">
        <v>6275</v>
      </c>
      <c r="H37">
        <v>16</v>
      </c>
      <c r="I37" t="s">
        <v>198</v>
      </c>
      <c r="J37" t="s">
        <v>176</v>
      </c>
      <c r="K37" t="s">
        <v>189</v>
      </c>
      <c r="L37" t="s">
        <v>161</v>
      </c>
      <c r="M37" t="s">
        <v>162</v>
      </c>
      <c r="N37">
        <v>6275</v>
      </c>
      <c r="O37">
        <v>16</v>
      </c>
      <c r="P37" t="s">
        <v>198</v>
      </c>
      <c r="Q37" t="s">
        <v>176</v>
      </c>
      <c r="R37" t="s">
        <v>189</v>
      </c>
      <c r="S37" t="s">
        <v>161</v>
      </c>
      <c r="T37" t="s">
        <v>162</v>
      </c>
      <c r="U37">
        <v>6275</v>
      </c>
    </row>
    <row r="38" spans="1:21" x14ac:dyDescent="0.3">
      <c r="A38">
        <v>17</v>
      </c>
      <c r="B38" t="s">
        <v>200</v>
      </c>
      <c r="C38" t="s">
        <v>201</v>
      </c>
      <c r="D38" t="s">
        <v>143</v>
      </c>
      <c r="E38" t="s">
        <v>144</v>
      </c>
      <c r="F38" t="s">
        <v>202</v>
      </c>
      <c r="G38">
        <v>6250</v>
      </c>
      <c r="H38">
        <v>17</v>
      </c>
      <c r="I38" t="s">
        <v>200</v>
      </c>
      <c r="J38" t="s">
        <v>201</v>
      </c>
      <c r="K38" t="s">
        <v>143</v>
      </c>
      <c r="L38" t="s">
        <v>144</v>
      </c>
      <c r="M38" t="s">
        <v>202</v>
      </c>
      <c r="N38">
        <v>6250</v>
      </c>
      <c r="O38">
        <v>17</v>
      </c>
      <c r="P38" t="s">
        <v>200</v>
      </c>
      <c r="Q38" t="s">
        <v>201</v>
      </c>
      <c r="R38" t="s">
        <v>143</v>
      </c>
      <c r="S38" t="s">
        <v>144</v>
      </c>
      <c r="T38" t="s">
        <v>202</v>
      </c>
      <c r="U38">
        <v>6250</v>
      </c>
    </row>
    <row r="39" spans="1:21" x14ac:dyDescent="0.3">
      <c r="A39">
        <v>18</v>
      </c>
      <c r="B39" t="s">
        <v>204</v>
      </c>
      <c r="C39" t="s">
        <v>205</v>
      </c>
      <c r="D39" t="s">
        <v>143</v>
      </c>
      <c r="E39" t="s">
        <v>144</v>
      </c>
      <c r="F39" t="s">
        <v>162</v>
      </c>
      <c r="G39">
        <v>8750</v>
      </c>
      <c r="H39">
        <v>18</v>
      </c>
      <c r="I39" t="s">
        <v>204</v>
      </c>
      <c r="J39" t="s">
        <v>205</v>
      </c>
      <c r="K39" t="s">
        <v>143</v>
      </c>
      <c r="L39" t="s">
        <v>144</v>
      </c>
      <c r="M39" t="s">
        <v>162</v>
      </c>
      <c r="N39">
        <v>8750</v>
      </c>
      <c r="O39">
        <v>18</v>
      </c>
      <c r="P39" t="s">
        <v>204</v>
      </c>
      <c r="Q39" t="s">
        <v>205</v>
      </c>
      <c r="R39" t="s">
        <v>143</v>
      </c>
      <c r="S39" t="s">
        <v>144</v>
      </c>
      <c r="T39" t="s">
        <v>162</v>
      </c>
      <c r="U39">
        <v>8750</v>
      </c>
    </row>
    <row r="40" spans="1:21" x14ac:dyDescent="0.3">
      <c r="A40">
        <v>19</v>
      </c>
      <c r="B40" t="s">
        <v>207</v>
      </c>
      <c r="C40" t="s">
        <v>208</v>
      </c>
      <c r="D40" t="s">
        <v>209</v>
      </c>
      <c r="E40" t="s">
        <v>144</v>
      </c>
      <c r="F40" t="s">
        <v>202</v>
      </c>
      <c r="G40">
        <v>11250</v>
      </c>
      <c r="H40">
        <v>19</v>
      </c>
      <c r="I40" t="s">
        <v>207</v>
      </c>
      <c r="J40" t="s">
        <v>208</v>
      </c>
      <c r="K40" t="s">
        <v>209</v>
      </c>
      <c r="L40" t="s">
        <v>144</v>
      </c>
      <c r="M40" t="s">
        <v>202</v>
      </c>
      <c r="N40">
        <v>11250</v>
      </c>
      <c r="O40">
        <v>19</v>
      </c>
      <c r="P40" t="s">
        <v>207</v>
      </c>
      <c r="Q40" t="s">
        <v>208</v>
      </c>
      <c r="R40" t="s">
        <v>209</v>
      </c>
      <c r="S40" t="s">
        <v>144</v>
      </c>
      <c r="T40" t="s">
        <v>202</v>
      </c>
      <c r="U40">
        <v>11250</v>
      </c>
    </row>
    <row r="41" spans="1:21" x14ac:dyDescent="0.3">
      <c r="A41">
        <v>20</v>
      </c>
      <c r="B41" t="s">
        <v>210</v>
      </c>
      <c r="C41" t="s">
        <v>211</v>
      </c>
      <c r="D41" t="s">
        <v>155</v>
      </c>
      <c r="E41" t="s">
        <v>150</v>
      </c>
      <c r="F41" t="s">
        <v>145</v>
      </c>
      <c r="G41">
        <v>20000</v>
      </c>
      <c r="H41">
        <v>20</v>
      </c>
      <c r="I41" t="s">
        <v>210</v>
      </c>
      <c r="J41" t="s">
        <v>211</v>
      </c>
      <c r="K41" t="s">
        <v>155</v>
      </c>
      <c r="L41" t="s">
        <v>150</v>
      </c>
      <c r="M41" t="s">
        <v>145</v>
      </c>
      <c r="N41">
        <v>20000</v>
      </c>
      <c r="O41">
        <v>20</v>
      </c>
      <c r="P41" t="s">
        <v>210</v>
      </c>
      <c r="Q41" t="s">
        <v>211</v>
      </c>
      <c r="R41" t="s">
        <v>155</v>
      </c>
      <c r="S41" t="s">
        <v>150</v>
      </c>
      <c r="T41" t="s">
        <v>145</v>
      </c>
      <c r="U41">
        <v>20000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BF7C4-7FAA-4BD5-87C5-E3422697B279}">
  <sheetPr codeName="Sheet17"/>
  <dimension ref="B2:M45"/>
  <sheetViews>
    <sheetView workbookViewId="0">
      <selection activeCell="H4" sqref="H4:H23"/>
    </sheetView>
  </sheetViews>
  <sheetFormatPr defaultRowHeight="14.4" x14ac:dyDescent="0.3"/>
  <cols>
    <col min="3" max="3" width="19.21875" customWidth="1"/>
    <col min="4" max="4" width="21.88671875" customWidth="1"/>
    <col min="5" max="5" width="18.88671875" customWidth="1"/>
    <col min="7" max="7" width="14" customWidth="1"/>
    <col min="8" max="8" width="15.33203125" customWidth="1"/>
    <col min="9" max="9" width="15.44140625" customWidth="1"/>
    <col min="10" max="10" width="10.5546875" bestFit="1" customWidth="1"/>
    <col min="11" max="11" width="14.33203125" customWidth="1"/>
    <col min="12" max="12" width="8.77734375" customWidth="1"/>
    <col min="13" max="13" width="16.77734375" customWidth="1"/>
    <col min="14" max="14" width="22" customWidth="1"/>
    <col min="15" max="15" width="8.44140625" customWidth="1"/>
  </cols>
  <sheetData>
    <row r="2" spans="2:13" x14ac:dyDescent="0.3">
      <c r="M2" t="str">
        <f ca="1">_xlfn.FORMULATEXT(M4)</f>
        <v>=I4&gt;80000</v>
      </c>
    </row>
    <row r="3" spans="2:13" x14ac:dyDescent="0.3">
      <c r="B3" s="26" t="s">
        <v>134</v>
      </c>
      <c r="C3" s="26" t="s">
        <v>135</v>
      </c>
      <c r="D3" s="26" t="s">
        <v>136</v>
      </c>
      <c r="E3" s="26" t="s">
        <v>137</v>
      </c>
      <c r="F3" s="26" t="s">
        <v>138</v>
      </c>
      <c r="G3" s="26" t="s">
        <v>139</v>
      </c>
      <c r="H3" s="26" t="s">
        <v>140</v>
      </c>
      <c r="I3" s="26" t="s">
        <v>140</v>
      </c>
      <c r="J3" s="26" t="s">
        <v>482</v>
      </c>
      <c r="K3" s="26" t="s">
        <v>545</v>
      </c>
      <c r="L3" s="26" t="s">
        <v>546</v>
      </c>
    </row>
    <row r="4" spans="2:13" x14ac:dyDescent="0.3">
      <c r="B4">
        <v>1</v>
      </c>
      <c r="C4" t="s">
        <v>141</v>
      </c>
      <c r="D4" t="s">
        <v>142</v>
      </c>
      <c r="E4" t="s">
        <v>143</v>
      </c>
      <c r="F4" t="s">
        <v>144</v>
      </c>
      <c r="G4" t="s">
        <v>145</v>
      </c>
      <c r="H4">
        <v>30000</v>
      </c>
      <c r="I4">
        <v>30000</v>
      </c>
      <c r="J4">
        <v>44927</v>
      </c>
      <c r="K4">
        <v>32710</v>
      </c>
      <c r="L4">
        <f ca="1">INT(YEARFRAC(K4,TODAY()))</f>
        <v>37</v>
      </c>
      <c r="M4" t="b">
        <f>I4&gt;80000</f>
        <v>0</v>
      </c>
    </row>
    <row r="5" spans="2:13" x14ac:dyDescent="0.3">
      <c r="B5">
        <v>2</v>
      </c>
      <c r="C5" t="s">
        <v>147</v>
      </c>
      <c r="D5" t="s">
        <v>148</v>
      </c>
      <c r="E5" t="s">
        <v>149</v>
      </c>
      <c r="F5" t="s">
        <v>161</v>
      </c>
      <c r="G5" t="s">
        <v>547</v>
      </c>
      <c r="H5">
        <v>8750</v>
      </c>
      <c r="I5">
        <v>8750</v>
      </c>
      <c r="J5">
        <v>45604</v>
      </c>
      <c r="K5">
        <v>23573</v>
      </c>
      <c r="L5">
        <f t="shared" ref="L5:L23" ca="1" si="0">INT(YEARFRAC(K5,TODAY()))</f>
        <v>62</v>
      </c>
      <c r="M5" t="b">
        <f t="shared" ref="M5:M23" si="1">I5&gt;80000</f>
        <v>0</v>
      </c>
    </row>
    <row r="6" spans="2:13" x14ac:dyDescent="0.3">
      <c r="B6">
        <v>3</v>
      </c>
      <c r="C6" t="s">
        <v>153</v>
      </c>
      <c r="D6" t="s">
        <v>154</v>
      </c>
      <c r="E6" t="s">
        <v>155</v>
      </c>
      <c r="F6" t="s">
        <v>150</v>
      </c>
      <c r="G6" t="s">
        <v>156</v>
      </c>
      <c r="H6">
        <v>11250</v>
      </c>
      <c r="I6">
        <v>11250</v>
      </c>
      <c r="J6">
        <v>45634</v>
      </c>
      <c r="K6">
        <v>33137</v>
      </c>
      <c r="L6">
        <f t="shared" ca="1" si="0"/>
        <v>35</v>
      </c>
      <c r="M6" t="b">
        <f t="shared" si="1"/>
        <v>0</v>
      </c>
    </row>
    <row r="7" spans="2:13" x14ac:dyDescent="0.3">
      <c r="B7">
        <v>4</v>
      </c>
      <c r="C7" t="s">
        <v>158</v>
      </c>
      <c r="D7" t="s">
        <v>159</v>
      </c>
      <c r="E7" t="s">
        <v>160</v>
      </c>
      <c r="F7" t="s">
        <v>161</v>
      </c>
      <c r="G7" t="s">
        <v>162</v>
      </c>
      <c r="H7">
        <v>10000</v>
      </c>
      <c r="I7">
        <v>10000</v>
      </c>
      <c r="J7">
        <v>45628</v>
      </c>
      <c r="K7">
        <v>33429</v>
      </c>
      <c r="L7">
        <f t="shared" ca="1" si="0"/>
        <v>35</v>
      </c>
      <c r="M7" t="b">
        <f t="shared" si="1"/>
        <v>0</v>
      </c>
    </row>
    <row r="8" spans="2:13" x14ac:dyDescent="0.3">
      <c r="B8">
        <v>5</v>
      </c>
      <c r="C8" t="s">
        <v>164</v>
      </c>
      <c r="D8" t="s">
        <v>165</v>
      </c>
      <c r="E8" t="s">
        <v>149</v>
      </c>
      <c r="F8" t="s">
        <v>67</v>
      </c>
      <c r="G8" t="s">
        <v>145</v>
      </c>
      <c r="H8">
        <v>16250</v>
      </c>
      <c r="I8">
        <v>16250</v>
      </c>
      <c r="J8">
        <v>45200</v>
      </c>
      <c r="K8">
        <v>31026</v>
      </c>
      <c r="L8">
        <f t="shared" ca="1" si="0"/>
        <v>41</v>
      </c>
      <c r="M8" t="b">
        <f t="shared" si="1"/>
        <v>0</v>
      </c>
    </row>
    <row r="9" spans="2:13" x14ac:dyDescent="0.3">
      <c r="B9">
        <v>6</v>
      </c>
      <c r="C9" t="s">
        <v>167</v>
      </c>
      <c r="D9" t="s">
        <v>168</v>
      </c>
      <c r="E9" t="s">
        <v>149</v>
      </c>
      <c r="F9" t="s">
        <v>67</v>
      </c>
      <c r="G9" t="s">
        <v>547</v>
      </c>
      <c r="H9">
        <v>6400</v>
      </c>
      <c r="I9">
        <v>6400</v>
      </c>
      <c r="J9">
        <v>45614</v>
      </c>
      <c r="K9">
        <v>31422</v>
      </c>
      <c r="L9">
        <f t="shared" ca="1" si="0"/>
        <v>40</v>
      </c>
      <c r="M9" t="b">
        <f t="shared" si="1"/>
        <v>0</v>
      </c>
    </row>
    <row r="10" spans="2:13" x14ac:dyDescent="0.3">
      <c r="B10">
        <v>7</v>
      </c>
      <c r="C10" t="s">
        <v>171</v>
      </c>
      <c r="D10" t="s">
        <v>172</v>
      </c>
      <c r="E10" t="s">
        <v>173</v>
      </c>
      <c r="F10" t="s">
        <v>67</v>
      </c>
      <c r="G10" t="s">
        <v>156</v>
      </c>
      <c r="H10">
        <v>4500</v>
      </c>
      <c r="I10">
        <v>4500</v>
      </c>
      <c r="J10">
        <v>45631</v>
      </c>
      <c r="K10">
        <v>35043</v>
      </c>
      <c r="L10">
        <f t="shared" ca="1" si="0"/>
        <v>30</v>
      </c>
      <c r="M10" t="b">
        <f t="shared" si="1"/>
        <v>0</v>
      </c>
    </row>
    <row r="11" spans="2:13" x14ac:dyDescent="0.3">
      <c r="B11">
        <v>8</v>
      </c>
      <c r="C11" t="s">
        <v>175</v>
      </c>
      <c r="D11" t="s">
        <v>176</v>
      </c>
      <c r="E11" t="s">
        <v>173</v>
      </c>
      <c r="F11" t="s">
        <v>67</v>
      </c>
      <c r="G11" t="s">
        <v>162</v>
      </c>
      <c r="H11">
        <v>6275</v>
      </c>
      <c r="I11">
        <v>6275</v>
      </c>
      <c r="J11">
        <v>45601</v>
      </c>
      <c r="K11">
        <v>33228</v>
      </c>
      <c r="L11">
        <f t="shared" ca="1" si="0"/>
        <v>35</v>
      </c>
      <c r="M11" t="b">
        <f t="shared" si="1"/>
        <v>0</v>
      </c>
    </row>
    <row r="12" spans="2:13" x14ac:dyDescent="0.3">
      <c r="B12">
        <v>9</v>
      </c>
      <c r="C12" t="s">
        <v>178</v>
      </c>
      <c r="D12" t="s">
        <v>179</v>
      </c>
      <c r="E12" t="s">
        <v>143</v>
      </c>
      <c r="F12" t="s">
        <v>144</v>
      </c>
      <c r="G12" t="s">
        <v>145</v>
      </c>
      <c r="H12">
        <v>50000</v>
      </c>
      <c r="I12">
        <v>50000</v>
      </c>
      <c r="J12">
        <v>45200</v>
      </c>
      <c r="K12">
        <v>37976</v>
      </c>
      <c r="L12">
        <f t="shared" ca="1" si="0"/>
        <v>22</v>
      </c>
      <c r="M12" t="b">
        <f t="shared" si="1"/>
        <v>0</v>
      </c>
    </row>
    <row r="13" spans="2:13" x14ac:dyDescent="0.3">
      <c r="B13">
        <v>10</v>
      </c>
      <c r="C13" t="s">
        <v>180</v>
      </c>
      <c r="D13" t="s">
        <v>181</v>
      </c>
      <c r="E13" t="s">
        <v>149</v>
      </c>
      <c r="F13" t="s">
        <v>161</v>
      </c>
      <c r="G13" t="s">
        <v>547</v>
      </c>
      <c r="H13">
        <v>8750</v>
      </c>
      <c r="I13">
        <v>8750</v>
      </c>
      <c r="J13">
        <v>45200</v>
      </c>
      <c r="K13">
        <v>36577</v>
      </c>
      <c r="L13">
        <f t="shared" ca="1" si="0"/>
        <v>26</v>
      </c>
      <c r="M13" t="b">
        <f t="shared" si="1"/>
        <v>0</v>
      </c>
    </row>
    <row r="14" spans="2:13" x14ac:dyDescent="0.3">
      <c r="B14">
        <v>11</v>
      </c>
      <c r="C14" t="s">
        <v>184</v>
      </c>
      <c r="D14" t="s">
        <v>185</v>
      </c>
      <c r="E14" t="s">
        <v>182</v>
      </c>
      <c r="F14" t="s">
        <v>161</v>
      </c>
      <c r="G14" t="s">
        <v>156</v>
      </c>
      <c r="H14">
        <v>11250</v>
      </c>
      <c r="I14">
        <v>11250</v>
      </c>
      <c r="J14">
        <v>45634</v>
      </c>
      <c r="K14">
        <v>33429</v>
      </c>
      <c r="L14">
        <f t="shared" ca="1" si="0"/>
        <v>35</v>
      </c>
      <c r="M14" t="b">
        <f t="shared" si="1"/>
        <v>0</v>
      </c>
    </row>
    <row r="15" spans="2:13" x14ac:dyDescent="0.3">
      <c r="B15">
        <v>12</v>
      </c>
      <c r="C15" t="s">
        <v>187</v>
      </c>
      <c r="D15" t="s">
        <v>188</v>
      </c>
      <c r="E15" t="s">
        <v>189</v>
      </c>
      <c r="F15" t="s">
        <v>161</v>
      </c>
      <c r="G15" t="s">
        <v>162</v>
      </c>
      <c r="H15">
        <v>10000</v>
      </c>
      <c r="I15">
        <v>10000</v>
      </c>
      <c r="J15">
        <v>45634</v>
      </c>
      <c r="K15">
        <v>34714</v>
      </c>
      <c r="L15">
        <f t="shared" ca="1" si="0"/>
        <v>31</v>
      </c>
      <c r="M15" t="b">
        <f t="shared" si="1"/>
        <v>0</v>
      </c>
    </row>
    <row r="16" spans="2:13" x14ac:dyDescent="0.3">
      <c r="B16">
        <v>13</v>
      </c>
      <c r="C16" t="s">
        <v>190</v>
      </c>
      <c r="D16" t="s">
        <v>148</v>
      </c>
      <c r="E16" t="s">
        <v>191</v>
      </c>
      <c r="F16" t="s">
        <v>161</v>
      </c>
      <c r="G16" t="s">
        <v>548</v>
      </c>
      <c r="H16">
        <v>100000</v>
      </c>
      <c r="I16">
        <v>100000</v>
      </c>
      <c r="J16">
        <v>44941</v>
      </c>
      <c r="K16">
        <v>33075</v>
      </c>
      <c r="L16">
        <f t="shared" ca="1" si="0"/>
        <v>36</v>
      </c>
      <c r="M16" t="b">
        <f t="shared" si="1"/>
        <v>1</v>
      </c>
    </row>
    <row r="17" spans="2:13" x14ac:dyDescent="0.3">
      <c r="B17">
        <v>14</v>
      </c>
      <c r="C17" t="s">
        <v>193</v>
      </c>
      <c r="D17" t="s">
        <v>154</v>
      </c>
      <c r="E17" t="s">
        <v>189</v>
      </c>
      <c r="F17" t="s">
        <v>161</v>
      </c>
      <c r="G17" t="s">
        <v>151</v>
      </c>
      <c r="H17">
        <v>6400</v>
      </c>
      <c r="I17">
        <v>6400</v>
      </c>
      <c r="J17">
        <v>45614</v>
      </c>
      <c r="K17">
        <v>33981</v>
      </c>
      <c r="L17">
        <f t="shared" ca="1" si="0"/>
        <v>33</v>
      </c>
      <c r="M17" t="b">
        <f t="shared" si="1"/>
        <v>0</v>
      </c>
    </row>
    <row r="18" spans="2:13" x14ac:dyDescent="0.3">
      <c r="B18">
        <v>15</v>
      </c>
      <c r="C18" t="s">
        <v>195</v>
      </c>
      <c r="D18" t="s">
        <v>196</v>
      </c>
      <c r="E18" t="s">
        <v>149</v>
      </c>
      <c r="F18" t="s">
        <v>150</v>
      </c>
      <c r="G18" t="s">
        <v>156</v>
      </c>
      <c r="H18">
        <v>24000</v>
      </c>
      <c r="I18">
        <v>24000</v>
      </c>
      <c r="J18">
        <v>44944</v>
      </c>
      <c r="K18">
        <v>30965</v>
      </c>
      <c r="L18">
        <f t="shared" ca="1" si="0"/>
        <v>41</v>
      </c>
      <c r="M18" t="b">
        <f t="shared" si="1"/>
        <v>0</v>
      </c>
    </row>
    <row r="19" spans="2:13" x14ac:dyDescent="0.3">
      <c r="B19">
        <v>16</v>
      </c>
      <c r="C19" t="s">
        <v>198</v>
      </c>
      <c r="D19" t="s">
        <v>176</v>
      </c>
      <c r="E19" t="s">
        <v>189</v>
      </c>
      <c r="F19" t="s">
        <v>161</v>
      </c>
      <c r="G19" t="s">
        <v>162</v>
      </c>
      <c r="H19">
        <v>6275</v>
      </c>
      <c r="I19">
        <v>6275</v>
      </c>
      <c r="J19">
        <v>45611</v>
      </c>
      <c r="K19">
        <v>23508</v>
      </c>
      <c r="L19">
        <f t="shared" ca="1" si="0"/>
        <v>62</v>
      </c>
      <c r="M19" t="b">
        <f t="shared" si="1"/>
        <v>0</v>
      </c>
    </row>
    <row r="20" spans="2:13" x14ac:dyDescent="0.3">
      <c r="B20">
        <v>17</v>
      </c>
      <c r="C20" t="s">
        <v>200</v>
      </c>
      <c r="D20" t="s">
        <v>142</v>
      </c>
      <c r="E20" t="s">
        <v>143</v>
      </c>
      <c r="F20" t="s">
        <v>144</v>
      </c>
      <c r="G20" t="s">
        <v>202</v>
      </c>
      <c r="H20">
        <v>10000</v>
      </c>
      <c r="I20">
        <v>10000</v>
      </c>
      <c r="J20">
        <v>44927</v>
      </c>
      <c r="K20">
        <v>33981</v>
      </c>
      <c r="L20">
        <f t="shared" ca="1" si="0"/>
        <v>33</v>
      </c>
      <c r="M20" t="b">
        <f t="shared" si="1"/>
        <v>0</v>
      </c>
    </row>
    <row r="21" spans="2:13" x14ac:dyDescent="0.3">
      <c r="B21">
        <v>18</v>
      </c>
      <c r="C21" t="s">
        <v>204</v>
      </c>
      <c r="D21" t="s">
        <v>142</v>
      </c>
      <c r="E21" t="s">
        <v>143</v>
      </c>
      <c r="F21" t="s">
        <v>144</v>
      </c>
      <c r="G21" t="s">
        <v>162</v>
      </c>
      <c r="H21">
        <v>8750</v>
      </c>
      <c r="I21">
        <v>8750</v>
      </c>
      <c r="J21">
        <v>45614</v>
      </c>
      <c r="K21">
        <v>32710</v>
      </c>
      <c r="L21">
        <f t="shared" ca="1" si="0"/>
        <v>37</v>
      </c>
      <c r="M21" t="b">
        <f t="shared" si="1"/>
        <v>0</v>
      </c>
    </row>
    <row r="22" spans="2:13" x14ac:dyDescent="0.3">
      <c r="B22">
        <v>19</v>
      </c>
      <c r="C22" t="s">
        <v>207</v>
      </c>
      <c r="D22" t="s">
        <v>208</v>
      </c>
      <c r="E22" t="s">
        <v>209</v>
      </c>
      <c r="F22" t="s">
        <v>144</v>
      </c>
      <c r="G22" t="s">
        <v>202</v>
      </c>
      <c r="H22">
        <v>11250</v>
      </c>
      <c r="I22">
        <v>11250</v>
      </c>
      <c r="J22">
        <v>45611</v>
      </c>
      <c r="K22">
        <v>30147</v>
      </c>
      <c r="L22">
        <f t="shared" ca="1" si="0"/>
        <v>44</v>
      </c>
      <c r="M22" t="b">
        <f t="shared" si="1"/>
        <v>0</v>
      </c>
    </row>
    <row r="23" spans="2:13" x14ac:dyDescent="0.3">
      <c r="B23">
        <v>20</v>
      </c>
      <c r="C23" t="s">
        <v>210</v>
      </c>
      <c r="D23" t="s">
        <v>211</v>
      </c>
      <c r="E23" t="s">
        <v>155</v>
      </c>
      <c r="F23" t="s">
        <v>150</v>
      </c>
      <c r="G23" t="s">
        <v>145</v>
      </c>
      <c r="H23">
        <v>100000</v>
      </c>
      <c r="I23">
        <v>100000</v>
      </c>
      <c r="J23">
        <v>45697</v>
      </c>
      <c r="K23">
        <v>23451</v>
      </c>
      <c r="L23">
        <f t="shared" ca="1" si="0"/>
        <v>62</v>
      </c>
      <c r="M23" t="b">
        <f t="shared" si="1"/>
        <v>1</v>
      </c>
    </row>
    <row r="25" spans="2:13" x14ac:dyDescent="0.3">
      <c r="I25" s="19"/>
    </row>
    <row r="30" spans="2:13" x14ac:dyDescent="0.3">
      <c r="C30" s="31" t="s">
        <v>549</v>
      </c>
      <c r="D30" s="31"/>
    </row>
    <row r="31" spans="2:13" x14ac:dyDescent="0.3">
      <c r="C31" s="31" t="s">
        <v>550</v>
      </c>
      <c r="D31" s="31"/>
    </row>
    <row r="32" spans="2:13" x14ac:dyDescent="0.3">
      <c r="C32" s="31" t="s">
        <v>551</v>
      </c>
      <c r="D32" s="31"/>
    </row>
    <row r="33" spans="2:12" x14ac:dyDescent="0.3">
      <c r="C33" s="31" t="s">
        <v>552</v>
      </c>
      <c r="D33" s="31"/>
    </row>
    <row r="34" spans="2:12" x14ac:dyDescent="0.3">
      <c r="C34" s="31" t="s">
        <v>553</v>
      </c>
      <c r="D34" s="31"/>
    </row>
    <row r="35" spans="2:12" x14ac:dyDescent="0.3">
      <c r="C35" s="19"/>
      <c r="D35" s="19"/>
    </row>
    <row r="36" spans="2:12" x14ac:dyDescent="0.3">
      <c r="C36" s="19"/>
      <c r="D36" s="19"/>
    </row>
    <row r="37" spans="2:12" x14ac:dyDescent="0.3">
      <c r="C37" s="19" t="s">
        <v>120</v>
      </c>
      <c r="D37" s="19"/>
    </row>
    <row r="38" spans="2:12" x14ac:dyDescent="0.3">
      <c r="C38" s="31" t="s">
        <v>554</v>
      </c>
      <c r="D38" s="19"/>
    </row>
    <row r="39" spans="2:12" x14ac:dyDescent="0.3">
      <c r="C39" s="31" t="s">
        <v>555</v>
      </c>
      <c r="D39" s="19"/>
    </row>
    <row r="40" spans="2:12" x14ac:dyDescent="0.3">
      <c r="C40" s="19" t="s">
        <v>556</v>
      </c>
      <c r="D40" s="19"/>
    </row>
    <row r="41" spans="2:12" x14ac:dyDescent="0.3">
      <c r="C41" s="19" t="s">
        <v>557</v>
      </c>
      <c r="D41" s="19"/>
    </row>
    <row r="45" spans="2:12" s="19" customFormat="1" x14ac:dyDescent="0.3">
      <c r="B45"/>
      <c r="C45"/>
      <c r="D45"/>
      <c r="E45"/>
      <c r="F45"/>
      <c r="G45"/>
      <c r="H45"/>
      <c r="I45"/>
      <c r="J45"/>
      <c r="K45"/>
      <c r="L45"/>
    </row>
  </sheetData>
  <phoneticPr fontId="11" type="noConversion"/>
  <conditionalFormatting sqref="H4:H23">
    <cfRule type="expression" dxfId="6" priority="1">
      <formula>H4&lt;=20000</formula>
    </cfRule>
    <cfRule type="expression" dxfId="5" priority="2">
      <formula xml:space="preserve"> H4&lt;=80000</formula>
    </cfRule>
    <cfRule type="expression" dxfId="4" priority="4">
      <formula>$H4&gt;80000</formula>
    </cfRule>
  </conditionalFormatting>
  <conditionalFormatting sqref="I4:I23">
    <cfRule type="cellIs" dxfId="3" priority="7" operator="between">
      <formula>20000</formula>
      <formula>80000</formula>
    </cfRule>
    <cfRule type="cellIs" dxfId="2" priority="8" operator="lessThan">
      <formula>20000</formula>
    </cfRule>
    <cfRule type="cellIs" dxfId="1" priority="9" operator="greaterThan">
      <formula>80000</formula>
    </cfRule>
    <cfRule type="cellIs" dxfId="0" priority="10" operator="greaterThan">
      <formula>80000</formula>
    </cfRule>
  </conditionalFormatting>
  <dataValidations count="2">
    <dataValidation type="list" allowBlank="1" showInputMessage="1" showErrorMessage="1" sqref="T5" xr:uid="{6D1FD844-7E7B-4907-8763-A663598FF06B}">
      <formula1>"E,W,N,S"</formula1>
    </dataValidation>
    <dataValidation type="list" allowBlank="1" showInputMessage="1" showErrorMessage="1" sqref="F3" xr:uid="{F2C2A7C0-56A5-45F3-B909-13827668773B}">
      <formula1>"E,W,S,N"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B53C-6EF2-45AB-A8C1-8AEF59591A92}">
  <sheetPr codeName="Sheet18"/>
  <dimension ref="A1:R27"/>
  <sheetViews>
    <sheetView topLeftCell="A6" workbookViewId="0">
      <selection activeCell="G29" sqref="G29"/>
    </sheetView>
  </sheetViews>
  <sheetFormatPr defaultRowHeight="14.4" x14ac:dyDescent="0.3"/>
  <cols>
    <col min="2" max="2" width="18.44140625" customWidth="1"/>
    <col min="3" max="3" width="16.6640625" customWidth="1"/>
    <col min="4" max="4" width="13.109375" customWidth="1"/>
    <col min="6" max="6" width="15.77734375" customWidth="1"/>
    <col min="7" max="7" width="17.77734375" customWidth="1"/>
    <col min="8" max="8" width="10.88671875" customWidth="1"/>
    <col min="9" max="10" width="10.5546875" bestFit="1" customWidth="1"/>
    <col min="14" max="14" width="0" hidden="1" customWidth="1"/>
    <col min="15" max="16" width="8.88671875" hidden="1" customWidth="1"/>
    <col min="18" max="18" width="24.6640625" customWidth="1"/>
  </cols>
  <sheetData>
    <row r="1" spans="1:18" ht="23.4" x14ac:dyDescent="0.3">
      <c r="A1" s="15" t="s">
        <v>558</v>
      </c>
    </row>
    <row r="4" spans="1:18" x14ac:dyDescent="0.3">
      <c r="R4" s="36" t="s">
        <v>559</v>
      </c>
    </row>
    <row r="5" spans="1:18" x14ac:dyDescent="0.3">
      <c r="R5" s="36" t="s">
        <v>635</v>
      </c>
    </row>
    <row r="6" spans="1:18" x14ac:dyDescent="0.3">
      <c r="R6" s="36" t="s">
        <v>636</v>
      </c>
    </row>
    <row r="7" spans="1:18" x14ac:dyDescent="0.3">
      <c r="B7" s="93" t="s">
        <v>134</v>
      </c>
      <c r="C7" s="94" t="s">
        <v>135</v>
      </c>
      <c r="D7" s="94" t="s">
        <v>136</v>
      </c>
      <c r="E7" s="94" t="s">
        <v>137</v>
      </c>
      <c r="F7" s="94" t="s">
        <v>138</v>
      </c>
      <c r="G7" s="94" t="s">
        <v>139</v>
      </c>
      <c r="H7" s="94" t="s">
        <v>140</v>
      </c>
      <c r="I7" s="94" t="s">
        <v>482</v>
      </c>
      <c r="J7" s="94" t="s">
        <v>545</v>
      </c>
      <c r="K7" s="95" t="s">
        <v>560</v>
      </c>
      <c r="R7" s="36" t="s">
        <v>561</v>
      </c>
    </row>
    <row r="8" spans="1:18" x14ac:dyDescent="0.3">
      <c r="B8" s="96">
        <v>13</v>
      </c>
      <c r="C8" s="97" t="s">
        <v>190</v>
      </c>
      <c r="D8" s="97" t="s">
        <v>148</v>
      </c>
      <c r="E8" s="97" t="s">
        <v>191</v>
      </c>
      <c r="F8" t="s">
        <v>161</v>
      </c>
      <c r="G8" s="97" t="s">
        <v>145</v>
      </c>
      <c r="H8" s="97">
        <v>100000</v>
      </c>
      <c r="I8" s="97">
        <v>44941</v>
      </c>
      <c r="J8" s="97">
        <v>33075</v>
      </c>
      <c r="K8" s="98">
        <f t="shared" ref="K8:K27" ca="1" si="0">INT(YEARFRAC(J8,TODAY()))</f>
        <v>36</v>
      </c>
      <c r="R8" s="36" t="s">
        <v>562</v>
      </c>
    </row>
    <row r="9" spans="1:18" x14ac:dyDescent="0.3">
      <c r="B9" s="99">
        <v>6</v>
      </c>
      <c r="C9" s="97" t="s">
        <v>184</v>
      </c>
      <c r="D9" s="97" t="s">
        <v>185</v>
      </c>
      <c r="E9" s="97" t="s">
        <v>182</v>
      </c>
      <c r="F9" t="s">
        <v>161</v>
      </c>
      <c r="G9" s="97" t="s">
        <v>156</v>
      </c>
      <c r="H9" s="97">
        <v>11250</v>
      </c>
      <c r="I9" s="97">
        <v>45634</v>
      </c>
      <c r="J9" s="97">
        <v>33429</v>
      </c>
      <c r="K9" s="98">
        <f t="shared" ca="1" si="0"/>
        <v>35</v>
      </c>
      <c r="R9" s="36" t="s">
        <v>563</v>
      </c>
    </row>
    <row r="10" spans="1:18" x14ac:dyDescent="0.3">
      <c r="B10" s="96">
        <v>4</v>
      </c>
      <c r="C10" s="97" t="s">
        <v>158</v>
      </c>
      <c r="D10" s="97" t="s">
        <v>159</v>
      </c>
      <c r="E10" s="97" t="s">
        <v>160</v>
      </c>
      <c r="F10" t="s">
        <v>161</v>
      </c>
      <c r="G10" s="97" t="s">
        <v>162</v>
      </c>
      <c r="H10" s="97">
        <v>10000</v>
      </c>
      <c r="I10" s="97">
        <v>45628</v>
      </c>
      <c r="J10" s="97">
        <v>33429</v>
      </c>
      <c r="K10" s="98">
        <f t="shared" ca="1" si="0"/>
        <v>35</v>
      </c>
      <c r="R10" s="36" t="s">
        <v>637</v>
      </c>
    </row>
    <row r="11" spans="1:18" x14ac:dyDescent="0.3">
      <c r="B11" s="96">
        <v>7</v>
      </c>
      <c r="C11" s="100" t="s">
        <v>187</v>
      </c>
      <c r="D11" s="100" t="s">
        <v>188</v>
      </c>
      <c r="E11" s="100" t="s">
        <v>189</v>
      </c>
      <c r="F11" t="s">
        <v>161</v>
      </c>
      <c r="G11" s="100" t="s">
        <v>162</v>
      </c>
      <c r="H11" s="100">
        <v>10000</v>
      </c>
      <c r="I11" s="100">
        <v>45634</v>
      </c>
      <c r="J11" s="100">
        <v>34714</v>
      </c>
      <c r="K11" s="101">
        <f t="shared" ca="1" si="0"/>
        <v>31</v>
      </c>
    </row>
    <row r="12" spans="1:18" x14ac:dyDescent="0.3">
      <c r="B12" s="96">
        <v>3</v>
      </c>
      <c r="C12" s="100" t="s">
        <v>147</v>
      </c>
      <c r="D12" s="109" t="s">
        <v>148</v>
      </c>
      <c r="E12" s="100" t="s">
        <v>149</v>
      </c>
      <c r="F12" t="s">
        <v>161</v>
      </c>
      <c r="G12" s="100" t="s">
        <v>151</v>
      </c>
      <c r="H12" s="100">
        <v>8750</v>
      </c>
      <c r="I12" s="100">
        <v>45604</v>
      </c>
      <c r="J12" s="100">
        <v>29417</v>
      </c>
      <c r="K12" s="101">
        <f t="shared" ca="1" si="0"/>
        <v>46</v>
      </c>
    </row>
    <row r="13" spans="1:18" x14ac:dyDescent="0.3">
      <c r="B13" s="99">
        <v>5</v>
      </c>
      <c r="C13" s="100" t="s">
        <v>180</v>
      </c>
      <c r="D13" s="100" t="s">
        <v>181</v>
      </c>
      <c r="E13" s="100" t="s">
        <v>182</v>
      </c>
      <c r="F13" t="s">
        <v>161</v>
      </c>
      <c r="G13" s="100" t="s">
        <v>151</v>
      </c>
      <c r="H13" s="100">
        <v>8750</v>
      </c>
      <c r="I13" s="100">
        <v>45200</v>
      </c>
      <c r="J13" s="100">
        <v>36577</v>
      </c>
      <c r="K13" s="101">
        <f t="shared" ca="1" si="0"/>
        <v>26</v>
      </c>
    </row>
    <row r="14" spans="1:18" x14ac:dyDescent="0.3">
      <c r="B14" s="99">
        <v>8</v>
      </c>
      <c r="C14" s="97" t="s">
        <v>193</v>
      </c>
      <c r="D14" s="110" t="s">
        <v>154</v>
      </c>
      <c r="E14" s="97" t="s">
        <v>189</v>
      </c>
      <c r="F14" t="s">
        <v>161</v>
      </c>
      <c r="G14" s="97" t="s">
        <v>151</v>
      </c>
      <c r="H14" s="97">
        <v>6400</v>
      </c>
      <c r="I14" s="97">
        <v>45614</v>
      </c>
      <c r="J14" s="97">
        <v>33981</v>
      </c>
      <c r="K14" s="98">
        <f t="shared" ca="1" si="0"/>
        <v>33</v>
      </c>
    </row>
    <row r="15" spans="1:18" x14ac:dyDescent="0.3">
      <c r="B15" s="96">
        <v>9</v>
      </c>
      <c r="C15" s="100" t="s">
        <v>198</v>
      </c>
      <c r="D15" s="100" t="s">
        <v>176</v>
      </c>
      <c r="E15" s="100" t="s">
        <v>189</v>
      </c>
      <c r="F15" t="s">
        <v>161</v>
      </c>
      <c r="G15" s="100" t="s">
        <v>162</v>
      </c>
      <c r="H15" s="100">
        <v>6275</v>
      </c>
      <c r="I15" s="100">
        <v>45611</v>
      </c>
      <c r="J15" s="100">
        <v>29417</v>
      </c>
      <c r="K15" s="101">
        <f t="shared" ca="1" si="0"/>
        <v>46</v>
      </c>
    </row>
    <row r="16" spans="1:18" x14ac:dyDescent="0.3">
      <c r="B16" s="99">
        <v>1</v>
      </c>
      <c r="C16" s="100" t="s">
        <v>200</v>
      </c>
      <c r="D16" s="100" t="s">
        <v>142</v>
      </c>
      <c r="E16" s="100" t="s">
        <v>143</v>
      </c>
      <c r="F16" t="s">
        <v>144</v>
      </c>
      <c r="G16" s="100" t="s">
        <v>202</v>
      </c>
      <c r="H16" s="100">
        <v>70000</v>
      </c>
      <c r="I16" s="100">
        <v>44927</v>
      </c>
      <c r="J16" s="100">
        <v>33981</v>
      </c>
      <c r="K16" s="101">
        <f t="shared" ca="1" si="0"/>
        <v>33</v>
      </c>
    </row>
    <row r="17" spans="2:11" x14ac:dyDescent="0.3">
      <c r="B17" s="99">
        <v>12</v>
      </c>
      <c r="C17" s="97" t="s">
        <v>178</v>
      </c>
      <c r="D17" s="110" t="s">
        <v>179</v>
      </c>
      <c r="E17" s="97" t="s">
        <v>143</v>
      </c>
      <c r="F17" t="s">
        <v>144</v>
      </c>
      <c r="G17" s="97" t="s">
        <v>145</v>
      </c>
      <c r="H17" s="97">
        <v>50000</v>
      </c>
      <c r="I17" s="97">
        <v>45200</v>
      </c>
      <c r="J17" s="97">
        <v>37976</v>
      </c>
      <c r="K17" s="98">
        <f t="shared" ca="1" si="0"/>
        <v>22</v>
      </c>
    </row>
    <row r="18" spans="2:11" x14ac:dyDescent="0.3">
      <c r="B18" s="96">
        <v>11</v>
      </c>
      <c r="C18" s="100" t="s">
        <v>141</v>
      </c>
      <c r="D18" s="100" t="s">
        <v>142</v>
      </c>
      <c r="E18" s="100" t="s">
        <v>143</v>
      </c>
      <c r="F18" t="s">
        <v>144</v>
      </c>
      <c r="G18" s="100" t="s">
        <v>145</v>
      </c>
      <c r="H18" s="100">
        <v>30000</v>
      </c>
      <c r="I18" s="100">
        <v>44927</v>
      </c>
      <c r="J18" s="100">
        <v>32710</v>
      </c>
      <c r="K18" s="101">
        <f t="shared" ca="1" si="0"/>
        <v>37</v>
      </c>
    </row>
    <row r="19" spans="2:11" x14ac:dyDescent="0.3">
      <c r="B19" s="96">
        <v>14</v>
      </c>
      <c r="C19" s="100" t="s">
        <v>207</v>
      </c>
      <c r="D19" s="100" t="s">
        <v>208</v>
      </c>
      <c r="E19" s="100" t="s">
        <v>209</v>
      </c>
      <c r="F19" t="s">
        <v>144</v>
      </c>
      <c r="G19" s="100" t="s">
        <v>202</v>
      </c>
      <c r="H19" s="100">
        <v>11250</v>
      </c>
      <c r="I19" s="100">
        <v>45611</v>
      </c>
      <c r="J19" s="100">
        <v>30147</v>
      </c>
      <c r="K19" s="101">
        <f t="shared" ca="1" si="0"/>
        <v>44</v>
      </c>
    </row>
    <row r="20" spans="2:11" x14ac:dyDescent="0.3">
      <c r="B20" s="96">
        <v>20</v>
      </c>
      <c r="C20" s="100" t="s">
        <v>175</v>
      </c>
      <c r="D20" s="100" t="s">
        <v>176</v>
      </c>
      <c r="E20" s="100" t="s">
        <v>173</v>
      </c>
      <c r="F20" t="s">
        <v>67</v>
      </c>
      <c r="G20" s="100" t="s">
        <v>162</v>
      </c>
      <c r="H20" s="100">
        <v>6275</v>
      </c>
      <c r="I20" s="100">
        <v>45601</v>
      </c>
      <c r="J20" s="100">
        <v>33228</v>
      </c>
      <c r="K20" s="101">
        <f t="shared" ca="1" si="0"/>
        <v>35</v>
      </c>
    </row>
    <row r="21" spans="2:11" x14ac:dyDescent="0.3">
      <c r="B21" s="99">
        <v>19</v>
      </c>
      <c r="C21" s="97" t="s">
        <v>171</v>
      </c>
      <c r="D21" s="97" t="s">
        <v>172</v>
      </c>
      <c r="E21" s="97" t="s">
        <v>173</v>
      </c>
      <c r="F21" t="s">
        <v>67</v>
      </c>
      <c r="G21" s="111" t="s">
        <v>156</v>
      </c>
      <c r="H21" s="97">
        <v>4500</v>
      </c>
      <c r="I21" s="97">
        <v>45631</v>
      </c>
      <c r="J21" s="97">
        <v>35043</v>
      </c>
      <c r="K21" s="98">
        <f t="shared" ca="1" si="0"/>
        <v>30</v>
      </c>
    </row>
    <row r="22" spans="2:11" x14ac:dyDescent="0.3">
      <c r="B22" s="99">
        <v>2</v>
      </c>
      <c r="C22" s="97" t="s">
        <v>210</v>
      </c>
      <c r="D22" s="97" t="s">
        <v>211</v>
      </c>
      <c r="E22" s="97" t="s">
        <v>155</v>
      </c>
      <c r="F22" t="s">
        <v>150</v>
      </c>
      <c r="G22" s="111" t="s">
        <v>145</v>
      </c>
      <c r="H22" s="97">
        <v>100000</v>
      </c>
      <c r="I22" s="97">
        <v>45635</v>
      </c>
      <c r="J22" s="97">
        <v>30025</v>
      </c>
      <c r="K22" s="98">
        <f t="shared" ca="1" si="0"/>
        <v>44</v>
      </c>
    </row>
    <row r="23" spans="2:11" x14ac:dyDescent="0.3">
      <c r="B23" s="99">
        <v>17</v>
      </c>
      <c r="C23" s="97" t="s">
        <v>195</v>
      </c>
      <c r="D23" s="110" t="s">
        <v>196</v>
      </c>
      <c r="E23" s="97" t="s">
        <v>149</v>
      </c>
      <c r="F23" t="s">
        <v>150</v>
      </c>
      <c r="G23" s="111" t="s">
        <v>156</v>
      </c>
      <c r="H23" s="97">
        <v>24000</v>
      </c>
      <c r="I23" s="97">
        <v>44944</v>
      </c>
      <c r="J23" s="97">
        <v>30965</v>
      </c>
      <c r="K23" s="98">
        <f t="shared" ca="1" si="0"/>
        <v>41</v>
      </c>
    </row>
    <row r="24" spans="2:11" x14ac:dyDescent="0.3">
      <c r="B24" s="96">
        <v>18</v>
      </c>
      <c r="C24" s="100" t="s">
        <v>167</v>
      </c>
      <c r="D24" s="100" t="s">
        <v>168</v>
      </c>
      <c r="E24" s="100" t="s">
        <v>169</v>
      </c>
      <c r="F24" t="s">
        <v>409</v>
      </c>
      <c r="G24" s="100" t="s">
        <v>151</v>
      </c>
      <c r="H24" s="100">
        <v>6400</v>
      </c>
      <c r="I24" s="100">
        <v>45614</v>
      </c>
      <c r="J24" s="100">
        <v>31422</v>
      </c>
      <c r="K24" s="101">
        <f t="shared" ca="1" si="0"/>
        <v>40</v>
      </c>
    </row>
    <row r="25" spans="2:11" x14ac:dyDescent="0.3">
      <c r="B25" s="99">
        <v>16</v>
      </c>
      <c r="C25" s="100" t="s">
        <v>164</v>
      </c>
      <c r="D25" s="100" t="s">
        <v>165</v>
      </c>
      <c r="E25" s="100" t="s">
        <v>149</v>
      </c>
      <c r="F25" t="s">
        <v>401</v>
      </c>
      <c r="G25" s="100" t="s">
        <v>145</v>
      </c>
      <c r="H25" s="100">
        <v>16250</v>
      </c>
      <c r="I25" s="100">
        <v>45200</v>
      </c>
      <c r="J25" s="100">
        <v>31026</v>
      </c>
      <c r="K25" s="101">
        <f t="shared" ca="1" si="0"/>
        <v>41</v>
      </c>
    </row>
    <row r="26" spans="2:11" x14ac:dyDescent="0.3">
      <c r="B26" s="96">
        <v>15</v>
      </c>
      <c r="C26" s="97" t="s">
        <v>153</v>
      </c>
      <c r="D26" s="97" t="s">
        <v>154</v>
      </c>
      <c r="E26" s="97" t="s">
        <v>155</v>
      </c>
      <c r="F26" t="s">
        <v>401</v>
      </c>
      <c r="G26" s="111" t="s">
        <v>156</v>
      </c>
      <c r="H26" s="97">
        <v>11250</v>
      </c>
      <c r="I26" s="97">
        <v>45634</v>
      </c>
      <c r="J26" s="97">
        <v>33137</v>
      </c>
      <c r="K26" s="98">
        <f t="shared" ca="1" si="0"/>
        <v>35</v>
      </c>
    </row>
    <row r="27" spans="2:11" x14ac:dyDescent="0.3">
      <c r="B27" s="92">
        <v>10</v>
      </c>
      <c r="C27" s="112" t="s">
        <v>204</v>
      </c>
      <c r="D27" s="112" t="s">
        <v>142</v>
      </c>
      <c r="E27" s="112" t="s">
        <v>143</v>
      </c>
      <c r="F27" t="s">
        <v>394</v>
      </c>
      <c r="G27" s="113" t="s">
        <v>162</v>
      </c>
      <c r="H27" s="112">
        <v>8750</v>
      </c>
      <c r="I27" s="112">
        <v>45614</v>
      </c>
      <c r="J27" s="112">
        <v>32710</v>
      </c>
      <c r="K27" s="114">
        <f t="shared" ca="1" si="0"/>
        <v>37</v>
      </c>
    </row>
  </sheetData>
  <sortState xmlns:xlrd2="http://schemas.microsoft.com/office/spreadsheetml/2017/richdata2" caseSensitive="1" ref="B8:K27">
    <sortCondition ref="F8:F27" customList="S,W,E,N"/>
  </sortState>
  <conditionalFormatting sqref="H7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H8:H27">
    <cfRule type="iconSet" priority="1">
      <iconSet iconSet="4Arrows">
        <cfvo type="percent" val="0"/>
        <cfvo type="num" val="20000"/>
        <cfvo type="num" val="50000"/>
        <cfvo type="num" val="80000"/>
      </iconSet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J12">
    <cfRule type="iconSet" priority="2">
      <iconSet iconSet="5Arrows">
        <cfvo type="percent" val="0"/>
        <cfvo type="num" val="20000"/>
        <cfvo type="num" val="30000"/>
        <cfvo type="num" val="50000"/>
        <cfvo type="num" val="80000"/>
      </iconSet>
    </cfRule>
  </conditionalFormatting>
  <dataValidations count="1">
    <dataValidation type="list" allowBlank="1" showInputMessage="1" showErrorMessage="1" sqref="F3 F24" xr:uid="{58083107-53CE-4122-8695-E47D3AB051DA}">
      <formula1>"E,W,S,N"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8EBC6-192F-4CCD-97D0-0E324E651381}">
  <sheetPr codeName="Sheet19"/>
  <dimension ref="A1:U10"/>
  <sheetViews>
    <sheetView workbookViewId="0">
      <selection activeCell="G13" sqref="G13"/>
    </sheetView>
  </sheetViews>
  <sheetFormatPr defaultRowHeight="14.4" x14ac:dyDescent="0.3"/>
  <sheetData>
    <row r="1" spans="1:21" x14ac:dyDescent="0.3">
      <c r="A1" t="s">
        <v>134</v>
      </c>
      <c r="B1">
        <v>13</v>
      </c>
      <c r="C1">
        <v>2</v>
      </c>
      <c r="D1">
        <v>1</v>
      </c>
      <c r="E1">
        <v>12</v>
      </c>
      <c r="F1">
        <v>11</v>
      </c>
      <c r="G1">
        <v>17</v>
      </c>
      <c r="H1">
        <v>16</v>
      </c>
      <c r="I1">
        <v>6</v>
      </c>
      <c r="J1">
        <v>14</v>
      </c>
      <c r="K1">
        <v>15</v>
      </c>
      <c r="L1">
        <v>4</v>
      </c>
      <c r="M1">
        <v>7</v>
      </c>
      <c r="N1">
        <v>3</v>
      </c>
      <c r="O1">
        <v>5</v>
      </c>
      <c r="P1">
        <v>10</v>
      </c>
      <c r="Q1">
        <v>8</v>
      </c>
      <c r="R1">
        <v>18</v>
      </c>
      <c r="S1">
        <v>9</v>
      </c>
      <c r="T1">
        <v>20</v>
      </c>
      <c r="U1">
        <v>19</v>
      </c>
    </row>
    <row r="2" spans="1:21" x14ac:dyDescent="0.3">
      <c r="A2" t="s">
        <v>135</v>
      </c>
      <c r="B2" t="s">
        <v>190</v>
      </c>
      <c r="C2" t="s">
        <v>210</v>
      </c>
      <c r="D2" t="s">
        <v>200</v>
      </c>
      <c r="E2" t="s">
        <v>178</v>
      </c>
      <c r="F2" t="s">
        <v>141</v>
      </c>
      <c r="G2" t="s">
        <v>195</v>
      </c>
      <c r="H2" t="s">
        <v>164</v>
      </c>
      <c r="I2" t="s">
        <v>184</v>
      </c>
      <c r="J2" t="s">
        <v>207</v>
      </c>
      <c r="K2" t="s">
        <v>153</v>
      </c>
      <c r="L2" t="s">
        <v>158</v>
      </c>
      <c r="M2" t="s">
        <v>187</v>
      </c>
      <c r="N2" t="s">
        <v>147</v>
      </c>
      <c r="O2" t="s">
        <v>180</v>
      </c>
      <c r="P2" t="s">
        <v>204</v>
      </c>
      <c r="Q2" t="s">
        <v>193</v>
      </c>
      <c r="R2" t="s">
        <v>167</v>
      </c>
      <c r="S2" t="s">
        <v>198</v>
      </c>
      <c r="T2" t="s">
        <v>175</v>
      </c>
      <c r="U2" t="s">
        <v>171</v>
      </c>
    </row>
    <row r="3" spans="1:21" x14ac:dyDescent="0.3">
      <c r="A3" t="s">
        <v>136</v>
      </c>
      <c r="B3" t="s">
        <v>148</v>
      </c>
      <c r="C3" t="s">
        <v>211</v>
      </c>
      <c r="D3" t="s">
        <v>142</v>
      </c>
      <c r="E3" t="s">
        <v>179</v>
      </c>
      <c r="F3" t="s">
        <v>142</v>
      </c>
      <c r="G3" t="s">
        <v>196</v>
      </c>
      <c r="H3" t="s">
        <v>165</v>
      </c>
      <c r="I3" t="s">
        <v>185</v>
      </c>
      <c r="J3" t="s">
        <v>208</v>
      </c>
      <c r="K3" t="s">
        <v>154</v>
      </c>
      <c r="L3" t="s">
        <v>159</v>
      </c>
      <c r="M3" t="s">
        <v>188</v>
      </c>
      <c r="N3" t="s">
        <v>148</v>
      </c>
      <c r="O3" t="s">
        <v>181</v>
      </c>
      <c r="P3" t="s">
        <v>142</v>
      </c>
      <c r="Q3" t="s">
        <v>154</v>
      </c>
      <c r="R3" t="s">
        <v>168</v>
      </c>
      <c r="S3" t="s">
        <v>176</v>
      </c>
      <c r="T3" t="s">
        <v>176</v>
      </c>
      <c r="U3" t="s">
        <v>172</v>
      </c>
    </row>
    <row r="4" spans="1:21" x14ac:dyDescent="0.3">
      <c r="A4" t="s">
        <v>137</v>
      </c>
      <c r="B4" t="s">
        <v>191</v>
      </c>
      <c r="C4" t="s">
        <v>155</v>
      </c>
      <c r="D4" t="s">
        <v>143</v>
      </c>
      <c r="E4" t="s">
        <v>143</v>
      </c>
      <c r="F4" t="s">
        <v>143</v>
      </c>
      <c r="G4" t="s">
        <v>149</v>
      </c>
      <c r="H4" t="s">
        <v>149</v>
      </c>
      <c r="I4" t="s">
        <v>182</v>
      </c>
      <c r="J4" t="s">
        <v>209</v>
      </c>
      <c r="K4" t="s">
        <v>155</v>
      </c>
      <c r="L4" t="s">
        <v>160</v>
      </c>
      <c r="M4" t="s">
        <v>189</v>
      </c>
      <c r="N4" t="s">
        <v>149</v>
      </c>
      <c r="O4" t="s">
        <v>182</v>
      </c>
      <c r="P4" t="s">
        <v>143</v>
      </c>
      <c r="Q4" t="s">
        <v>189</v>
      </c>
      <c r="R4" t="s">
        <v>169</v>
      </c>
      <c r="S4" t="s">
        <v>189</v>
      </c>
      <c r="T4" t="s">
        <v>173</v>
      </c>
      <c r="U4" t="s">
        <v>173</v>
      </c>
    </row>
    <row r="5" spans="1:21" x14ac:dyDescent="0.3">
      <c r="A5" t="s">
        <v>138</v>
      </c>
      <c r="B5" t="s">
        <v>161</v>
      </c>
      <c r="C5" t="s">
        <v>150</v>
      </c>
      <c r="D5" t="s">
        <v>144</v>
      </c>
      <c r="E5" t="s">
        <v>144</v>
      </c>
      <c r="F5" t="s">
        <v>144</v>
      </c>
      <c r="G5" t="s">
        <v>150</v>
      </c>
      <c r="H5" t="s">
        <v>401</v>
      </c>
      <c r="I5" t="s">
        <v>161</v>
      </c>
      <c r="J5" t="s">
        <v>144</v>
      </c>
      <c r="K5" t="s">
        <v>401</v>
      </c>
      <c r="L5" t="s">
        <v>161</v>
      </c>
      <c r="M5" t="s">
        <v>161</v>
      </c>
      <c r="N5" t="s">
        <v>161</v>
      </c>
      <c r="O5" t="s">
        <v>161</v>
      </c>
      <c r="P5" t="s">
        <v>394</v>
      </c>
      <c r="Q5" t="s">
        <v>161</v>
      </c>
      <c r="R5" t="s">
        <v>409</v>
      </c>
      <c r="S5" t="s">
        <v>161</v>
      </c>
      <c r="T5" t="s">
        <v>67</v>
      </c>
      <c r="U5" t="s">
        <v>67</v>
      </c>
    </row>
    <row r="6" spans="1:21" x14ac:dyDescent="0.3">
      <c r="A6" t="s">
        <v>139</v>
      </c>
      <c r="B6" t="s">
        <v>145</v>
      </c>
      <c r="C6" t="s">
        <v>145</v>
      </c>
      <c r="D6" t="s">
        <v>202</v>
      </c>
      <c r="E6" t="s">
        <v>145</v>
      </c>
      <c r="F6" t="s">
        <v>145</v>
      </c>
      <c r="G6" t="s">
        <v>156</v>
      </c>
      <c r="H6" t="s">
        <v>145</v>
      </c>
      <c r="I6" t="s">
        <v>156</v>
      </c>
      <c r="J6" t="s">
        <v>202</v>
      </c>
      <c r="K6" t="s">
        <v>156</v>
      </c>
      <c r="L6" t="s">
        <v>162</v>
      </c>
      <c r="M6" t="s">
        <v>162</v>
      </c>
      <c r="N6" t="s">
        <v>151</v>
      </c>
      <c r="O6" t="s">
        <v>151</v>
      </c>
      <c r="P6" t="s">
        <v>162</v>
      </c>
      <c r="Q6" t="s">
        <v>151</v>
      </c>
      <c r="R6" t="s">
        <v>151</v>
      </c>
      <c r="S6" t="s">
        <v>162</v>
      </c>
      <c r="T6" t="s">
        <v>162</v>
      </c>
      <c r="U6" t="s">
        <v>156</v>
      </c>
    </row>
    <row r="7" spans="1:21" x14ac:dyDescent="0.3">
      <c r="A7" t="s">
        <v>140</v>
      </c>
      <c r="B7">
        <v>100000</v>
      </c>
      <c r="C7">
        <v>100000</v>
      </c>
      <c r="D7">
        <v>70000</v>
      </c>
      <c r="E7">
        <v>50000</v>
      </c>
      <c r="F7">
        <v>30000</v>
      </c>
      <c r="G7">
        <v>24000</v>
      </c>
      <c r="H7">
        <v>16250</v>
      </c>
      <c r="I7">
        <v>11250</v>
      </c>
      <c r="J7">
        <v>11250</v>
      </c>
      <c r="K7">
        <v>11250</v>
      </c>
      <c r="L7">
        <v>10000</v>
      </c>
      <c r="M7">
        <v>10000</v>
      </c>
      <c r="N7">
        <v>8750</v>
      </c>
      <c r="O7">
        <v>8750</v>
      </c>
      <c r="P7">
        <v>8750</v>
      </c>
      <c r="Q7">
        <v>6400</v>
      </c>
      <c r="R7">
        <v>6400</v>
      </c>
      <c r="S7">
        <v>6275</v>
      </c>
      <c r="T7">
        <v>6275</v>
      </c>
      <c r="U7">
        <v>4500</v>
      </c>
    </row>
    <row r="8" spans="1:21" x14ac:dyDescent="0.3">
      <c r="A8" t="s">
        <v>482</v>
      </c>
      <c r="B8">
        <v>44941</v>
      </c>
      <c r="C8">
        <v>45635</v>
      </c>
      <c r="D8">
        <v>44927</v>
      </c>
      <c r="E8">
        <v>45200</v>
      </c>
      <c r="F8">
        <v>44927</v>
      </c>
      <c r="G8">
        <v>44944</v>
      </c>
      <c r="H8">
        <v>45200</v>
      </c>
      <c r="I8">
        <v>45634</v>
      </c>
      <c r="J8">
        <v>45611</v>
      </c>
      <c r="K8">
        <v>45634</v>
      </c>
      <c r="L8">
        <v>45628</v>
      </c>
      <c r="M8">
        <v>45634</v>
      </c>
      <c r="N8">
        <v>45604</v>
      </c>
      <c r="O8">
        <v>45200</v>
      </c>
      <c r="P8">
        <v>45614</v>
      </c>
      <c r="Q8">
        <v>45614</v>
      </c>
      <c r="R8">
        <v>45614</v>
      </c>
      <c r="S8">
        <v>45611</v>
      </c>
      <c r="T8">
        <v>45601</v>
      </c>
      <c r="U8">
        <v>45631</v>
      </c>
    </row>
    <row r="9" spans="1:21" x14ac:dyDescent="0.3">
      <c r="A9" t="s">
        <v>545</v>
      </c>
      <c r="B9">
        <v>33075</v>
      </c>
      <c r="C9">
        <v>30025</v>
      </c>
      <c r="D9">
        <v>33981</v>
      </c>
      <c r="E9">
        <v>37976</v>
      </c>
      <c r="F9">
        <v>32710</v>
      </c>
      <c r="G9">
        <v>30965</v>
      </c>
      <c r="H9">
        <v>31026</v>
      </c>
      <c r="I9">
        <v>33429</v>
      </c>
      <c r="J9">
        <v>30147</v>
      </c>
      <c r="K9">
        <v>33137</v>
      </c>
      <c r="L9">
        <v>33429</v>
      </c>
      <c r="M9">
        <v>34714</v>
      </c>
      <c r="N9">
        <v>29417</v>
      </c>
      <c r="O9">
        <v>36577</v>
      </c>
      <c r="P9">
        <v>32710</v>
      </c>
      <c r="Q9">
        <v>33981</v>
      </c>
      <c r="R9">
        <v>31422</v>
      </c>
      <c r="S9">
        <v>29417</v>
      </c>
      <c r="T9">
        <v>33228</v>
      </c>
      <c r="U9">
        <v>35043</v>
      </c>
    </row>
    <row r="10" spans="1:21" x14ac:dyDescent="0.3">
      <c r="A10" t="s">
        <v>560</v>
      </c>
      <c r="B10">
        <f t="shared" ref="B10:U10" ca="1" si="0">INT(YEARFRAC(B9,TODAY()))</f>
        <v>36</v>
      </c>
      <c r="C10">
        <f t="shared" ca="1" si="0"/>
        <v>44</v>
      </c>
      <c r="D10">
        <f t="shared" ca="1" si="0"/>
        <v>33</v>
      </c>
      <c r="E10">
        <f t="shared" ca="1" si="0"/>
        <v>22</v>
      </c>
      <c r="F10">
        <f t="shared" ca="1" si="0"/>
        <v>37</v>
      </c>
      <c r="G10">
        <f t="shared" ca="1" si="0"/>
        <v>41</v>
      </c>
      <c r="H10">
        <f t="shared" ca="1" si="0"/>
        <v>41</v>
      </c>
      <c r="I10">
        <f t="shared" ca="1" si="0"/>
        <v>35</v>
      </c>
      <c r="J10">
        <f t="shared" ca="1" si="0"/>
        <v>44</v>
      </c>
      <c r="K10">
        <f t="shared" ca="1" si="0"/>
        <v>35</v>
      </c>
      <c r="L10">
        <f t="shared" ca="1" si="0"/>
        <v>35</v>
      </c>
      <c r="M10">
        <f t="shared" ca="1" si="0"/>
        <v>31</v>
      </c>
      <c r="N10">
        <f t="shared" ca="1" si="0"/>
        <v>46</v>
      </c>
      <c r="O10">
        <f t="shared" ca="1" si="0"/>
        <v>26</v>
      </c>
      <c r="P10">
        <f t="shared" ca="1" si="0"/>
        <v>37</v>
      </c>
      <c r="Q10">
        <f t="shared" ca="1" si="0"/>
        <v>33</v>
      </c>
      <c r="R10">
        <f t="shared" ca="1" si="0"/>
        <v>40</v>
      </c>
      <c r="S10">
        <f t="shared" ca="1" si="0"/>
        <v>46</v>
      </c>
      <c r="T10">
        <f t="shared" ca="1" si="0"/>
        <v>35</v>
      </c>
      <c r="U10">
        <f t="shared" ca="1" si="0"/>
        <v>30</v>
      </c>
    </row>
  </sheetData>
  <sortState xmlns:xlrd2="http://schemas.microsoft.com/office/spreadsheetml/2017/richdata2" columnSort="1" ref="B2:U10">
    <sortCondition ref="B3:U3"/>
  </sortState>
  <dataValidations count="1">
    <dataValidation type="list" allowBlank="1" showInputMessage="1" showErrorMessage="1" sqref="R5" xr:uid="{815C6ED3-FBE9-44A6-83AA-8BEBAEC6AB9C}">
      <formula1>"E,W,S,N"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A83A-09B5-4B19-987B-762C02BDBFF4}">
  <sheetPr codeName="Sheet20"/>
  <dimension ref="A1:S45"/>
  <sheetViews>
    <sheetView workbookViewId="0">
      <selection activeCell="A3" sqref="A3"/>
    </sheetView>
  </sheetViews>
  <sheetFormatPr defaultRowHeight="14.4" x14ac:dyDescent="0.3"/>
  <cols>
    <col min="1" max="1" width="17.5546875" customWidth="1"/>
    <col min="2" max="2" width="18.44140625" customWidth="1"/>
    <col min="3" max="3" width="20.21875" customWidth="1"/>
    <col min="4" max="4" width="18" customWidth="1"/>
    <col min="5" max="5" width="10" customWidth="1"/>
    <col min="6" max="6" width="19.109375" customWidth="1"/>
    <col min="8" max="9" width="10.5546875" bestFit="1" customWidth="1"/>
    <col min="14" max="14" width="10.109375" customWidth="1"/>
    <col min="15" max="15" width="13.77734375" customWidth="1"/>
    <col min="17" max="17" width="14" customWidth="1"/>
    <col min="19" max="19" width="23.88671875" customWidth="1"/>
  </cols>
  <sheetData>
    <row r="1" spans="1:19" ht="23.4" x14ac:dyDescent="0.3">
      <c r="A1" s="15" t="s">
        <v>558</v>
      </c>
    </row>
    <row r="3" spans="1:19" x14ac:dyDescent="0.3">
      <c r="A3" t="s">
        <v>134</v>
      </c>
      <c r="B3" t="s">
        <v>135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  <c r="H3" t="s">
        <v>482</v>
      </c>
      <c r="I3" t="s">
        <v>545</v>
      </c>
      <c r="J3" t="s">
        <v>560</v>
      </c>
      <c r="N3" t="s">
        <v>564</v>
      </c>
      <c r="O3" t="s">
        <v>139</v>
      </c>
      <c r="Q3" s="50" t="s">
        <v>565</v>
      </c>
      <c r="R3" s="48"/>
      <c r="S3" s="48"/>
    </row>
    <row r="4" spans="1:19" x14ac:dyDescent="0.3">
      <c r="A4">
        <v>11</v>
      </c>
      <c r="B4" t="s">
        <v>184</v>
      </c>
      <c r="C4" t="s">
        <v>185</v>
      </c>
      <c r="D4" t="s">
        <v>182</v>
      </c>
      <c r="E4" t="s">
        <v>161</v>
      </c>
      <c r="F4" t="s">
        <v>156</v>
      </c>
      <c r="G4">
        <v>11250</v>
      </c>
      <c r="H4">
        <v>45634</v>
      </c>
      <c r="I4">
        <v>33429</v>
      </c>
      <c r="J4">
        <f t="shared" ref="J4:J23" ca="1" si="0">INT(YEARFRAC(I4,TODAY()))</f>
        <v>35</v>
      </c>
      <c r="N4" t="s">
        <v>191</v>
      </c>
      <c r="O4" t="s">
        <v>145</v>
      </c>
      <c r="Q4" s="50" t="s">
        <v>566</v>
      </c>
      <c r="R4" s="48"/>
      <c r="S4" s="48"/>
    </row>
    <row r="5" spans="1:19" x14ac:dyDescent="0.3">
      <c r="A5">
        <v>19</v>
      </c>
      <c r="B5" t="s">
        <v>207</v>
      </c>
      <c r="C5" t="s">
        <v>208</v>
      </c>
      <c r="D5" t="s">
        <v>209</v>
      </c>
      <c r="E5" t="s">
        <v>144</v>
      </c>
      <c r="F5" t="s">
        <v>202</v>
      </c>
      <c r="G5">
        <v>11250</v>
      </c>
      <c r="H5">
        <v>45611</v>
      </c>
      <c r="I5">
        <v>30147</v>
      </c>
      <c r="J5">
        <f t="shared" ca="1" si="0"/>
        <v>44</v>
      </c>
      <c r="N5" t="s">
        <v>143</v>
      </c>
      <c r="O5" t="s">
        <v>567</v>
      </c>
      <c r="Q5" s="50" t="s">
        <v>568</v>
      </c>
      <c r="R5" s="48"/>
      <c r="S5" s="48"/>
    </row>
    <row r="6" spans="1:19" x14ac:dyDescent="0.3">
      <c r="A6">
        <v>2</v>
      </c>
      <c r="B6" t="s">
        <v>147</v>
      </c>
      <c r="C6" t="s">
        <v>148</v>
      </c>
      <c r="D6" t="s">
        <v>149</v>
      </c>
      <c r="E6" t="s">
        <v>161</v>
      </c>
      <c r="F6" t="s">
        <v>151</v>
      </c>
      <c r="G6">
        <v>8750</v>
      </c>
      <c r="H6">
        <v>45604</v>
      </c>
      <c r="I6">
        <v>29417</v>
      </c>
      <c r="J6">
        <f t="shared" ca="1" si="0"/>
        <v>46</v>
      </c>
      <c r="Q6" s="48" t="s">
        <v>569</v>
      </c>
      <c r="R6" s="48"/>
      <c r="S6" s="48"/>
    </row>
    <row r="7" spans="1:19" x14ac:dyDescent="0.3">
      <c r="A7">
        <v>18</v>
      </c>
      <c r="B7" t="s">
        <v>204</v>
      </c>
      <c r="C7" t="s">
        <v>142</v>
      </c>
      <c r="D7" t="s">
        <v>143</v>
      </c>
      <c r="E7" t="s">
        <v>394</v>
      </c>
      <c r="F7" t="s">
        <v>162</v>
      </c>
      <c r="G7">
        <v>8750</v>
      </c>
      <c r="H7">
        <v>45614</v>
      </c>
      <c r="I7">
        <v>32710</v>
      </c>
      <c r="J7">
        <f t="shared" ca="1" si="0"/>
        <v>37</v>
      </c>
      <c r="Q7" s="50" t="s">
        <v>570</v>
      </c>
      <c r="R7" s="50"/>
      <c r="S7" s="50"/>
    </row>
    <row r="8" spans="1:19" x14ac:dyDescent="0.3">
      <c r="A8">
        <v>13</v>
      </c>
      <c r="B8" t="s">
        <v>190</v>
      </c>
      <c r="C8" t="s">
        <v>148</v>
      </c>
      <c r="D8" t="s">
        <v>191</v>
      </c>
      <c r="E8" t="s">
        <v>161</v>
      </c>
      <c r="F8" t="s">
        <v>145</v>
      </c>
      <c r="G8">
        <v>100000</v>
      </c>
      <c r="H8">
        <v>44941</v>
      </c>
      <c r="I8">
        <v>33075</v>
      </c>
      <c r="J8">
        <f t="shared" ca="1" si="0"/>
        <v>36</v>
      </c>
      <c r="Q8" s="50"/>
      <c r="R8" s="50"/>
      <c r="S8" s="50"/>
    </row>
    <row r="9" spans="1:19" x14ac:dyDescent="0.3">
      <c r="A9">
        <v>9</v>
      </c>
      <c r="B9" t="s">
        <v>178</v>
      </c>
      <c r="C9" t="s">
        <v>179</v>
      </c>
      <c r="D9" t="s">
        <v>143</v>
      </c>
      <c r="E9" t="s">
        <v>144</v>
      </c>
      <c r="F9" t="s">
        <v>145</v>
      </c>
      <c r="G9">
        <v>50000</v>
      </c>
      <c r="H9">
        <v>45200</v>
      </c>
      <c r="I9">
        <v>37976</v>
      </c>
      <c r="J9">
        <f t="shared" ca="1" si="0"/>
        <v>22</v>
      </c>
      <c r="Q9" s="50" t="s">
        <v>571</v>
      </c>
      <c r="R9" s="50" t="s">
        <v>572</v>
      </c>
      <c r="S9" s="50"/>
    </row>
    <row r="10" spans="1:19" x14ac:dyDescent="0.3">
      <c r="A10">
        <v>10</v>
      </c>
      <c r="B10" t="s">
        <v>180</v>
      </c>
      <c r="C10" t="s">
        <v>181</v>
      </c>
      <c r="D10" t="s">
        <v>182</v>
      </c>
      <c r="E10" t="s">
        <v>161</v>
      </c>
      <c r="F10" t="s">
        <v>151</v>
      </c>
      <c r="G10">
        <v>8750</v>
      </c>
      <c r="H10">
        <v>45200</v>
      </c>
      <c r="I10">
        <v>36577</v>
      </c>
      <c r="J10">
        <f t="shared" ca="1" si="0"/>
        <v>26</v>
      </c>
      <c r="Q10" s="50" t="s">
        <v>573</v>
      </c>
      <c r="R10" s="50" t="s">
        <v>574</v>
      </c>
      <c r="S10" s="50"/>
    </row>
    <row r="11" spans="1:19" x14ac:dyDescent="0.3">
      <c r="A11">
        <v>14</v>
      </c>
      <c r="B11" t="s">
        <v>193</v>
      </c>
      <c r="C11" t="s">
        <v>154</v>
      </c>
      <c r="D11" t="s">
        <v>189</v>
      </c>
      <c r="E11" t="s">
        <v>161</v>
      </c>
      <c r="F11" t="s">
        <v>151</v>
      </c>
      <c r="G11">
        <v>6400</v>
      </c>
      <c r="H11">
        <v>45614</v>
      </c>
      <c r="I11">
        <v>33981</v>
      </c>
      <c r="J11">
        <f t="shared" ca="1" si="0"/>
        <v>33</v>
      </c>
      <c r="Q11" s="50" t="s">
        <v>588</v>
      </c>
    </row>
    <row r="12" spans="1:19" x14ac:dyDescent="0.3">
      <c r="A12">
        <v>6</v>
      </c>
      <c r="B12" t="s">
        <v>167</v>
      </c>
      <c r="C12" t="s">
        <v>168</v>
      </c>
      <c r="D12" t="s">
        <v>169</v>
      </c>
      <c r="E12" t="s">
        <v>67</v>
      </c>
      <c r="F12" t="s">
        <v>151</v>
      </c>
      <c r="G12">
        <v>6400</v>
      </c>
      <c r="H12">
        <v>45614</v>
      </c>
      <c r="I12">
        <v>31422</v>
      </c>
      <c r="J12">
        <f t="shared" ca="1" si="0"/>
        <v>40</v>
      </c>
    </row>
    <row r="13" spans="1:19" x14ac:dyDescent="0.3">
      <c r="A13">
        <v>1</v>
      </c>
      <c r="B13" t="s">
        <v>141</v>
      </c>
      <c r="C13" t="s">
        <v>142</v>
      </c>
      <c r="D13" t="s">
        <v>143</v>
      </c>
      <c r="E13" t="s">
        <v>144</v>
      </c>
      <c r="F13" t="s">
        <v>145</v>
      </c>
      <c r="G13">
        <v>30000</v>
      </c>
      <c r="H13">
        <v>44927</v>
      </c>
      <c r="I13">
        <v>32710</v>
      </c>
      <c r="J13">
        <f t="shared" ca="1" si="0"/>
        <v>37</v>
      </c>
    </row>
    <row r="14" spans="1:19" x14ac:dyDescent="0.3">
      <c r="A14">
        <v>20</v>
      </c>
      <c r="B14" t="s">
        <v>210</v>
      </c>
      <c r="C14" t="s">
        <v>211</v>
      </c>
      <c r="D14" t="s">
        <v>155</v>
      </c>
      <c r="E14" t="s">
        <v>150</v>
      </c>
      <c r="F14" t="s">
        <v>145</v>
      </c>
      <c r="G14">
        <v>100000</v>
      </c>
      <c r="H14">
        <v>45635</v>
      </c>
      <c r="I14">
        <v>30025</v>
      </c>
      <c r="J14">
        <f t="shared" ca="1" si="0"/>
        <v>44</v>
      </c>
    </row>
    <row r="15" spans="1:19" x14ac:dyDescent="0.3">
      <c r="A15">
        <v>8</v>
      </c>
      <c r="B15" t="s">
        <v>175</v>
      </c>
      <c r="C15" t="s">
        <v>176</v>
      </c>
      <c r="D15" t="s">
        <v>173</v>
      </c>
      <c r="E15" t="s">
        <v>67</v>
      </c>
      <c r="F15" t="s">
        <v>162</v>
      </c>
      <c r="G15">
        <v>6275</v>
      </c>
      <c r="H15">
        <v>45601</v>
      </c>
      <c r="I15">
        <v>33228</v>
      </c>
      <c r="J15">
        <f t="shared" ca="1" si="0"/>
        <v>35</v>
      </c>
    </row>
    <row r="16" spans="1:19" x14ac:dyDescent="0.3">
      <c r="A16">
        <v>7</v>
      </c>
      <c r="B16" t="s">
        <v>171</v>
      </c>
      <c r="C16" t="s">
        <v>172</v>
      </c>
      <c r="D16" t="s">
        <v>173</v>
      </c>
      <c r="E16" t="s">
        <v>67</v>
      </c>
      <c r="F16" t="s">
        <v>156</v>
      </c>
      <c r="G16">
        <v>4500</v>
      </c>
      <c r="H16">
        <v>45631</v>
      </c>
      <c r="I16">
        <v>35043</v>
      </c>
      <c r="J16">
        <f t="shared" ca="1" si="0"/>
        <v>30</v>
      </c>
    </row>
    <row r="17" spans="1:10" x14ac:dyDescent="0.3">
      <c r="A17">
        <v>15</v>
      </c>
      <c r="B17" t="s">
        <v>195</v>
      </c>
      <c r="C17" t="s">
        <v>196</v>
      </c>
      <c r="D17" t="s">
        <v>149</v>
      </c>
      <c r="E17" t="s">
        <v>150</v>
      </c>
      <c r="F17" t="s">
        <v>156</v>
      </c>
      <c r="G17">
        <v>24000</v>
      </c>
      <c r="H17">
        <v>44944</v>
      </c>
      <c r="I17">
        <v>30965</v>
      </c>
      <c r="J17">
        <f t="shared" ca="1" si="0"/>
        <v>41</v>
      </c>
    </row>
    <row r="18" spans="1:10" x14ac:dyDescent="0.3">
      <c r="A18">
        <v>3</v>
      </c>
      <c r="B18" t="s">
        <v>153</v>
      </c>
      <c r="C18" t="s">
        <v>154</v>
      </c>
      <c r="D18" t="s">
        <v>155</v>
      </c>
      <c r="E18" t="s">
        <v>150</v>
      </c>
      <c r="F18" t="s">
        <v>156</v>
      </c>
      <c r="G18">
        <v>11250</v>
      </c>
      <c r="H18">
        <v>45634</v>
      </c>
      <c r="I18">
        <v>33137</v>
      </c>
      <c r="J18">
        <f t="shared" ca="1" si="0"/>
        <v>35</v>
      </c>
    </row>
    <row r="19" spans="1:10" x14ac:dyDescent="0.3">
      <c r="A19">
        <v>4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>
        <v>10000</v>
      </c>
      <c r="H19">
        <v>45628</v>
      </c>
      <c r="I19">
        <v>33429</v>
      </c>
      <c r="J19">
        <f t="shared" ca="1" si="0"/>
        <v>35</v>
      </c>
    </row>
    <row r="20" spans="1:10" x14ac:dyDescent="0.3">
      <c r="A20">
        <v>5</v>
      </c>
      <c r="B20" t="s">
        <v>164</v>
      </c>
      <c r="C20" t="s">
        <v>165</v>
      </c>
      <c r="D20" t="s">
        <v>149</v>
      </c>
      <c r="E20" t="s">
        <v>150</v>
      </c>
      <c r="F20" t="s">
        <v>145</v>
      </c>
      <c r="G20">
        <v>16250</v>
      </c>
      <c r="H20">
        <v>45200</v>
      </c>
      <c r="I20">
        <v>31026</v>
      </c>
      <c r="J20">
        <f t="shared" ca="1" si="0"/>
        <v>41</v>
      </c>
    </row>
    <row r="21" spans="1:10" x14ac:dyDescent="0.3">
      <c r="A21">
        <v>17</v>
      </c>
      <c r="B21" t="s">
        <v>200</v>
      </c>
      <c r="C21" t="s">
        <v>142</v>
      </c>
      <c r="D21" t="s">
        <v>143</v>
      </c>
      <c r="E21" t="s">
        <v>144</v>
      </c>
      <c r="F21" t="s">
        <v>202</v>
      </c>
      <c r="G21">
        <v>70000</v>
      </c>
      <c r="H21">
        <v>44927</v>
      </c>
      <c r="I21">
        <v>33981</v>
      </c>
      <c r="J21">
        <f t="shared" ca="1" si="0"/>
        <v>33</v>
      </c>
    </row>
    <row r="22" spans="1:10" x14ac:dyDescent="0.3">
      <c r="A22">
        <v>12</v>
      </c>
      <c r="B22" t="s">
        <v>187</v>
      </c>
      <c r="C22" t="s">
        <v>188</v>
      </c>
      <c r="D22" t="s">
        <v>189</v>
      </c>
      <c r="E22" t="s">
        <v>161</v>
      </c>
      <c r="F22" t="s">
        <v>162</v>
      </c>
      <c r="G22">
        <v>10000</v>
      </c>
      <c r="H22">
        <v>45634</v>
      </c>
      <c r="I22">
        <v>34714</v>
      </c>
      <c r="J22">
        <f t="shared" ca="1" si="0"/>
        <v>31</v>
      </c>
    </row>
    <row r="23" spans="1:10" x14ac:dyDescent="0.3">
      <c r="A23">
        <v>16</v>
      </c>
      <c r="B23" t="s">
        <v>198</v>
      </c>
      <c r="C23" t="s">
        <v>176</v>
      </c>
      <c r="D23" t="s">
        <v>189</v>
      </c>
      <c r="E23" t="s">
        <v>161</v>
      </c>
      <c r="F23" t="s">
        <v>162</v>
      </c>
      <c r="G23">
        <v>6275</v>
      </c>
      <c r="H23">
        <v>45611</v>
      </c>
      <c r="I23">
        <v>29417</v>
      </c>
      <c r="J23">
        <f t="shared" ca="1" si="0"/>
        <v>46</v>
      </c>
    </row>
    <row r="27" spans="1:10" x14ac:dyDescent="0.3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139</v>
      </c>
      <c r="G27" t="s">
        <v>140</v>
      </c>
      <c r="H27" t="s">
        <v>482</v>
      </c>
      <c r="I27" t="s">
        <v>545</v>
      </c>
      <c r="J27" t="s">
        <v>560</v>
      </c>
    </row>
    <row r="28" spans="1:10" x14ac:dyDescent="0.3">
      <c r="A28">
        <v>2</v>
      </c>
      <c r="B28" t="s">
        <v>147</v>
      </c>
      <c r="C28" t="s">
        <v>148</v>
      </c>
      <c r="D28" t="s">
        <v>149</v>
      </c>
      <c r="E28" t="s">
        <v>161</v>
      </c>
      <c r="F28" t="s">
        <v>151</v>
      </c>
      <c r="G28">
        <v>8750</v>
      </c>
      <c r="H28">
        <v>45604</v>
      </c>
      <c r="I28">
        <v>29417</v>
      </c>
      <c r="J28">
        <v>45</v>
      </c>
    </row>
    <row r="29" spans="1:10" x14ac:dyDescent="0.3">
      <c r="A29">
        <v>13</v>
      </c>
      <c r="B29" t="s">
        <v>190</v>
      </c>
      <c r="C29" t="s">
        <v>148</v>
      </c>
      <c r="D29" t="s">
        <v>191</v>
      </c>
      <c r="E29" t="s">
        <v>161</v>
      </c>
      <c r="F29" t="s">
        <v>145</v>
      </c>
      <c r="G29">
        <v>100000</v>
      </c>
      <c r="H29">
        <v>44941</v>
      </c>
      <c r="I29">
        <v>33075</v>
      </c>
      <c r="J29">
        <v>35</v>
      </c>
    </row>
    <row r="30" spans="1:10" x14ac:dyDescent="0.3">
      <c r="A30">
        <v>9</v>
      </c>
      <c r="B30" t="s">
        <v>178</v>
      </c>
      <c r="C30" t="s">
        <v>179</v>
      </c>
      <c r="D30" t="s">
        <v>143</v>
      </c>
      <c r="E30" t="s">
        <v>144</v>
      </c>
      <c r="F30" t="s">
        <v>145</v>
      </c>
      <c r="G30">
        <v>50000</v>
      </c>
      <c r="H30">
        <v>45200</v>
      </c>
      <c r="I30">
        <v>37976</v>
      </c>
      <c r="J30">
        <v>22</v>
      </c>
    </row>
    <row r="31" spans="1:10" x14ac:dyDescent="0.3">
      <c r="A31">
        <v>10</v>
      </c>
      <c r="B31" t="s">
        <v>180</v>
      </c>
      <c r="C31" t="s">
        <v>181</v>
      </c>
      <c r="D31" t="s">
        <v>182</v>
      </c>
      <c r="E31" t="s">
        <v>161</v>
      </c>
      <c r="F31" t="s">
        <v>151</v>
      </c>
      <c r="G31">
        <v>8750</v>
      </c>
      <c r="H31">
        <v>45200</v>
      </c>
      <c r="I31">
        <v>36577</v>
      </c>
      <c r="J31">
        <v>26</v>
      </c>
    </row>
    <row r="32" spans="1:10" x14ac:dyDescent="0.3">
      <c r="A32">
        <v>14</v>
      </c>
      <c r="B32" t="s">
        <v>193</v>
      </c>
      <c r="C32" t="s">
        <v>154</v>
      </c>
      <c r="D32" t="s">
        <v>189</v>
      </c>
      <c r="E32" t="s">
        <v>161</v>
      </c>
      <c r="F32" t="s">
        <v>151</v>
      </c>
      <c r="G32">
        <v>6400</v>
      </c>
      <c r="H32">
        <v>45614</v>
      </c>
      <c r="I32">
        <v>33981</v>
      </c>
      <c r="J32">
        <v>33</v>
      </c>
    </row>
    <row r="33" spans="1:10" x14ac:dyDescent="0.3">
      <c r="A33">
        <v>6</v>
      </c>
      <c r="B33" t="s">
        <v>167</v>
      </c>
      <c r="C33" t="s">
        <v>168</v>
      </c>
      <c r="D33" t="s">
        <v>169</v>
      </c>
      <c r="E33" t="s">
        <v>67</v>
      </c>
      <c r="F33" t="s">
        <v>151</v>
      </c>
      <c r="G33">
        <v>6400</v>
      </c>
      <c r="H33">
        <v>45614</v>
      </c>
      <c r="I33">
        <v>31422</v>
      </c>
      <c r="J33">
        <v>40</v>
      </c>
    </row>
    <row r="34" spans="1:10" x14ac:dyDescent="0.3">
      <c r="A34">
        <v>1</v>
      </c>
      <c r="B34" t="s">
        <v>141</v>
      </c>
      <c r="C34" t="s">
        <v>142</v>
      </c>
      <c r="D34" t="s">
        <v>143</v>
      </c>
      <c r="E34" t="s">
        <v>144</v>
      </c>
      <c r="F34" t="s">
        <v>145</v>
      </c>
      <c r="G34">
        <v>30000</v>
      </c>
      <c r="H34">
        <v>44927</v>
      </c>
      <c r="I34">
        <v>32710</v>
      </c>
      <c r="J34">
        <v>36</v>
      </c>
    </row>
    <row r="35" spans="1:10" x14ac:dyDescent="0.3">
      <c r="A35">
        <v>20</v>
      </c>
      <c r="B35" t="s">
        <v>210</v>
      </c>
      <c r="C35" t="s">
        <v>211</v>
      </c>
      <c r="D35" t="s">
        <v>155</v>
      </c>
      <c r="E35" t="s">
        <v>150</v>
      </c>
      <c r="F35" t="s">
        <v>145</v>
      </c>
      <c r="G35">
        <v>100000</v>
      </c>
      <c r="H35">
        <v>45635</v>
      </c>
      <c r="I35">
        <v>30025</v>
      </c>
      <c r="J35">
        <v>44</v>
      </c>
    </row>
    <row r="36" spans="1:10" x14ac:dyDescent="0.3">
      <c r="A36">
        <v>5</v>
      </c>
      <c r="B36" t="s">
        <v>164</v>
      </c>
      <c r="C36" t="s">
        <v>165</v>
      </c>
      <c r="D36" t="s">
        <v>149</v>
      </c>
      <c r="E36" t="s">
        <v>150</v>
      </c>
      <c r="F36" t="s">
        <v>145</v>
      </c>
      <c r="G36">
        <v>16250</v>
      </c>
      <c r="H36">
        <v>45200</v>
      </c>
      <c r="I36">
        <v>31026</v>
      </c>
      <c r="J36">
        <v>41</v>
      </c>
    </row>
    <row r="40" spans="1:10" x14ac:dyDescent="0.3">
      <c r="A40" t="s">
        <v>134</v>
      </c>
      <c r="B40" t="s">
        <v>135</v>
      </c>
      <c r="C40" t="s">
        <v>136</v>
      </c>
      <c r="D40" t="s">
        <v>137</v>
      </c>
      <c r="E40" t="s">
        <v>138</v>
      </c>
      <c r="F40" t="s">
        <v>139</v>
      </c>
      <c r="G40" t="s">
        <v>140</v>
      </c>
      <c r="H40" t="s">
        <v>482</v>
      </c>
      <c r="I40" t="s">
        <v>545</v>
      </c>
      <c r="J40" t="s">
        <v>560</v>
      </c>
    </row>
    <row r="41" spans="1:10" x14ac:dyDescent="0.3">
      <c r="A41">
        <v>18</v>
      </c>
      <c r="B41" t="s">
        <v>204</v>
      </c>
      <c r="C41" t="s">
        <v>142</v>
      </c>
      <c r="D41" t="s">
        <v>143</v>
      </c>
      <c r="E41" t="s">
        <v>394</v>
      </c>
      <c r="F41" t="s">
        <v>162</v>
      </c>
      <c r="G41">
        <v>8750</v>
      </c>
      <c r="H41">
        <v>45614</v>
      </c>
      <c r="I41">
        <v>32710</v>
      </c>
      <c r="J41">
        <v>36</v>
      </c>
    </row>
    <row r="42" spans="1:10" x14ac:dyDescent="0.3">
      <c r="A42">
        <v>13</v>
      </c>
      <c r="B42" t="s">
        <v>190</v>
      </c>
      <c r="C42" t="s">
        <v>148</v>
      </c>
      <c r="D42" t="s">
        <v>191</v>
      </c>
      <c r="E42" t="s">
        <v>161</v>
      </c>
      <c r="F42" t="s">
        <v>145</v>
      </c>
      <c r="G42">
        <v>100000</v>
      </c>
      <c r="H42">
        <v>44941</v>
      </c>
      <c r="I42">
        <v>33075</v>
      </c>
      <c r="J42">
        <v>35</v>
      </c>
    </row>
    <row r="43" spans="1:10" x14ac:dyDescent="0.3">
      <c r="A43">
        <v>9</v>
      </c>
      <c r="B43" t="s">
        <v>178</v>
      </c>
      <c r="C43" t="s">
        <v>179</v>
      </c>
      <c r="D43" t="s">
        <v>143</v>
      </c>
      <c r="E43" t="s">
        <v>144</v>
      </c>
      <c r="F43" t="s">
        <v>145</v>
      </c>
      <c r="G43">
        <v>50000</v>
      </c>
      <c r="H43">
        <v>45200</v>
      </c>
      <c r="I43">
        <v>37976</v>
      </c>
      <c r="J43">
        <v>22</v>
      </c>
    </row>
    <row r="44" spans="1:10" x14ac:dyDescent="0.3">
      <c r="A44">
        <v>1</v>
      </c>
      <c r="B44" t="s">
        <v>141</v>
      </c>
      <c r="C44" t="s">
        <v>142</v>
      </c>
      <c r="D44" t="s">
        <v>143</v>
      </c>
      <c r="E44" t="s">
        <v>144</v>
      </c>
      <c r="F44" t="s">
        <v>145</v>
      </c>
      <c r="G44">
        <v>30000</v>
      </c>
      <c r="H44">
        <v>44927</v>
      </c>
      <c r="I44">
        <v>32710</v>
      </c>
      <c r="J44">
        <v>36</v>
      </c>
    </row>
    <row r="45" spans="1:10" x14ac:dyDescent="0.3">
      <c r="A45">
        <v>17</v>
      </c>
      <c r="B45" t="s">
        <v>200</v>
      </c>
      <c r="C45" t="s">
        <v>142</v>
      </c>
      <c r="D45" t="s">
        <v>143</v>
      </c>
      <c r="E45" t="s">
        <v>144</v>
      </c>
      <c r="F45" t="s">
        <v>202</v>
      </c>
      <c r="G45">
        <v>70000</v>
      </c>
      <c r="H45">
        <v>44927</v>
      </c>
      <c r="I45">
        <v>33981</v>
      </c>
      <c r="J45">
        <v>33</v>
      </c>
    </row>
  </sheetData>
  <dataValidations count="1">
    <dataValidation type="list" allowBlank="1" showInputMessage="1" showErrorMessage="1" sqref="E3 E30 E42 E27:E28 E40" xr:uid="{66C0FD72-B403-46A3-90DD-A5DEBA8236AE}">
      <formula1>"E,W,S,N"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6836-C1DB-49FC-8AC6-F24124132E87}">
  <sheetPr codeName="Sheet21"/>
  <dimension ref="A1:J6"/>
  <sheetViews>
    <sheetView workbookViewId="0">
      <selection activeCell="A2" sqref="A2"/>
    </sheetView>
  </sheetViews>
  <sheetFormatPr defaultRowHeight="14.4" x14ac:dyDescent="0.3"/>
  <sheetData>
    <row r="1" spans="1:10" x14ac:dyDescent="0.3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482</v>
      </c>
      <c r="I1" t="s">
        <v>545</v>
      </c>
      <c r="J1" t="s">
        <v>560</v>
      </c>
    </row>
    <row r="2" spans="1:10" x14ac:dyDescent="0.3">
      <c r="A2">
        <v>18</v>
      </c>
      <c r="B2" t="s">
        <v>204</v>
      </c>
      <c r="C2" t="s">
        <v>142</v>
      </c>
      <c r="D2" t="s">
        <v>143</v>
      </c>
      <c r="E2" t="s">
        <v>394</v>
      </c>
      <c r="F2" t="s">
        <v>162</v>
      </c>
      <c r="G2">
        <v>8750</v>
      </c>
      <c r="H2">
        <v>45614</v>
      </c>
      <c r="I2">
        <v>32710</v>
      </c>
      <c r="J2">
        <v>36</v>
      </c>
    </row>
    <row r="3" spans="1:10" x14ac:dyDescent="0.3">
      <c r="A3">
        <v>13</v>
      </c>
      <c r="B3" t="s">
        <v>190</v>
      </c>
      <c r="C3" t="s">
        <v>148</v>
      </c>
      <c r="D3" t="s">
        <v>191</v>
      </c>
      <c r="E3" t="s">
        <v>161</v>
      </c>
      <c r="F3" t="s">
        <v>145</v>
      </c>
      <c r="G3">
        <v>100000</v>
      </c>
      <c r="H3">
        <v>44941</v>
      </c>
      <c r="I3">
        <v>33075</v>
      </c>
      <c r="J3">
        <v>35</v>
      </c>
    </row>
    <row r="4" spans="1:10" x14ac:dyDescent="0.3">
      <c r="A4">
        <v>9</v>
      </c>
      <c r="B4" t="s">
        <v>178</v>
      </c>
      <c r="C4" t="s">
        <v>179</v>
      </c>
      <c r="D4" t="s">
        <v>143</v>
      </c>
      <c r="E4" t="s">
        <v>144</v>
      </c>
      <c r="F4" t="s">
        <v>145</v>
      </c>
      <c r="G4">
        <v>50000</v>
      </c>
      <c r="H4">
        <v>45200</v>
      </c>
      <c r="I4">
        <v>37976</v>
      </c>
      <c r="J4">
        <v>22</v>
      </c>
    </row>
    <row r="5" spans="1:10" x14ac:dyDescent="0.3">
      <c r="A5">
        <v>1</v>
      </c>
      <c r="B5" t="s">
        <v>141</v>
      </c>
      <c r="C5" t="s">
        <v>142</v>
      </c>
      <c r="D5" t="s">
        <v>143</v>
      </c>
      <c r="E5" t="s">
        <v>144</v>
      </c>
      <c r="F5" t="s">
        <v>145</v>
      </c>
      <c r="G5">
        <v>30000</v>
      </c>
      <c r="H5">
        <v>44927</v>
      </c>
      <c r="I5">
        <v>32710</v>
      </c>
      <c r="J5">
        <v>36</v>
      </c>
    </row>
    <row r="6" spans="1:10" x14ac:dyDescent="0.3">
      <c r="A6">
        <v>17</v>
      </c>
      <c r="B6" t="s">
        <v>200</v>
      </c>
      <c r="C6" t="s">
        <v>142</v>
      </c>
      <c r="D6" t="s">
        <v>143</v>
      </c>
      <c r="E6" t="s">
        <v>144</v>
      </c>
      <c r="F6" t="s">
        <v>202</v>
      </c>
      <c r="G6">
        <v>70000</v>
      </c>
      <c r="H6">
        <v>44927</v>
      </c>
      <c r="I6">
        <v>33981</v>
      </c>
      <c r="J6">
        <v>33</v>
      </c>
    </row>
  </sheetData>
  <dataValidations count="1">
    <dataValidation type="list" allowBlank="1" showInputMessage="1" showErrorMessage="1" sqref="E1" xr:uid="{8A19FAE8-B15E-4A6E-82F2-53192F79E099}">
      <formula1>"E,W,S,N"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59D8-FC25-4D79-9945-C036EC8F9916}">
  <sheetPr codeName="Sheet22"/>
  <dimension ref="A1:Q47"/>
  <sheetViews>
    <sheetView topLeftCell="F2" zoomScale="104" workbookViewId="0">
      <selection activeCell="L8" sqref="L8"/>
    </sheetView>
  </sheetViews>
  <sheetFormatPr defaultRowHeight="14.4" x14ac:dyDescent="0.3"/>
  <cols>
    <col min="2" max="2" width="25.109375" customWidth="1"/>
    <col min="3" max="3" width="14.77734375" customWidth="1"/>
    <col min="4" max="4" width="14.33203125" customWidth="1"/>
    <col min="12" max="12" width="12.6640625" customWidth="1"/>
    <col min="13" max="13" width="17.88671875" customWidth="1"/>
    <col min="14" max="14" width="25.44140625" customWidth="1"/>
    <col min="15" max="15" width="13.77734375" customWidth="1"/>
    <col min="16" max="16" width="17.33203125" customWidth="1"/>
  </cols>
  <sheetData>
    <row r="1" spans="1:17" ht="28.8" x14ac:dyDescent="0.55000000000000004">
      <c r="A1" s="73" t="s">
        <v>575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ht="46.8" x14ac:dyDescent="0.3">
      <c r="L2" s="115" t="str">
        <f ca="1">_xlfn.FORMULATEXT(L5)</f>
        <v>=LOOKUP(M5,B4:B23,A4:A23)</v>
      </c>
      <c r="M2" s="115" t="e">
        <f t="shared" ref="M2:P2" ca="1" si="0">_xlfn.FORMULATEXT(M5)</f>
        <v>#N/A</v>
      </c>
      <c r="N2" s="115" t="str">
        <f t="shared" ca="1" si="0"/>
        <v>=LOOKUP(M5,B4:B23,D4:D23)</v>
      </c>
      <c r="O2" s="115" t="str">
        <f t="shared" ca="1" si="0"/>
        <v>=LOOKUP(M5,B4:B23,F4:F23)</v>
      </c>
      <c r="P2" s="115" t="str">
        <f t="shared" ca="1" si="0"/>
        <v>=LOOKUP(M5,B4:B23,G4:G23)</v>
      </c>
    </row>
    <row r="3" spans="1:17" x14ac:dyDescent="0.3">
      <c r="A3" s="31" t="s">
        <v>134</v>
      </c>
      <c r="B3" s="31" t="s">
        <v>576</v>
      </c>
      <c r="C3" s="31" t="s">
        <v>577</v>
      </c>
      <c r="D3" s="31" t="s">
        <v>137</v>
      </c>
      <c r="E3" s="31" t="s">
        <v>578</v>
      </c>
      <c r="F3" s="31" t="s">
        <v>579</v>
      </c>
      <c r="G3" s="31" t="s">
        <v>580</v>
      </c>
      <c r="H3" s="31" t="s">
        <v>581</v>
      </c>
    </row>
    <row r="4" spans="1:17" x14ac:dyDescent="0.3">
      <c r="A4">
        <v>1</v>
      </c>
      <c r="B4" t="s">
        <v>184</v>
      </c>
      <c r="C4" t="s">
        <v>185</v>
      </c>
      <c r="D4" t="s">
        <v>182</v>
      </c>
      <c r="E4" t="s">
        <v>161</v>
      </c>
      <c r="F4" t="s">
        <v>156</v>
      </c>
      <c r="G4">
        <v>11250</v>
      </c>
      <c r="H4">
        <v>45634</v>
      </c>
      <c r="L4" s="31" t="s">
        <v>134</v>
      </c>
      <c r="M4" s="31" t="s">
        <v>576</v>
      </c>
      <c r="N4" s="31" t="s">
        <v>137</v>
      </c>
      <c r="O4" s="31" t="s">
        <v>481</v>
      </c>
      <c r="P4" s="31" t="s">
        <v>582</v>
      </c>
    </row>
    <row r="5" spans="1:17" x14ac:dyDescent="0.3">
      <c r="A5">
        <v>2</v>
      </c>
      <c r="B5" t="s">
        <v>207</v>
      </c>
      <c r="C5" t="s">
        <v>208</v>
      </c>
      <c r="D5" t="s">
        <v>209</v>
      </c>
      <c r="E5" t="s">
        <v>144</v>
      </c>
      <c r="F5" t="s">
        <v>202</v>
      </c>
      <c r="G5">
        <v>11250</v>
      </c>
      <c r="H5">
        <v>45611</v>
      </c>
      <c r="L5">
        <f>LOOKUP(M5,B4:B23,A4:A23)</f>
        <v>15</v>
      </c>
      <c r="M5" s="20" t="s">
        <v>153</v>
      </c>
      <c r="N5" t="str">
        <f>LOOKUP(M5,B4:B23,D4:D23)</f>
        <v>Noida</v>
      </c>
      <c r="O5" t="str">
        <f>LOOKUP(M5,B4:B23,F4:F23)</f>
        <v>Marketing</v>
      </c>
      <c r="P5">
        <f>LOOKUP(M5,B4:B23,G4:G23)</f>
        <v>11250</v>
      </c>
    </row>
    <row r="6" spans="1:17" x14ac:dyDescent="0.3">
      <c r="A6">
        <v>3</v>
      </c>
      <c r="B6" t="s">
        <v>147</v>
      </c>
      <c r="C6" t="s">
        <v>148</v>
      </c>
      <c r="D6" t="s">
        <v>149</v>
      </c>
      <c r="E6" t="s">
        <v>161</v>
      </c>
      <c r="F6" t="s">
        <v>151</v>
      </c>
      <c r="G6">
        <v>8750</v>
      </c>
      <c r="H6">
        <v>45604</v>
      </c>
      <c r="L6">
        <f t="shared" ref="L6:L11" si="1">LOOKUP(M6,B5:B24,A5:A24)</f>
        <v>16</v>
      </c>
      <c r="M6" s="20" t="s">
        <v>158</v>
      </c>
      <c r="N6" t="str">
        <f t="shared" ref="N6:N11" si="2">LOOKUP(M6,B5:B24,D5:D24)</f>
        <v>Chennai</v>
      </c>
      <c r="O6" t="str">
        <f t="shared" ref="O6:O11" si="3">LOOKUP(M6,B5:B24,F5:F24)</f>
        <v>R&amp;D</v>
      </c>
      <c r="P6">
        <f t="shared" ref="P6:P11" si="4">LOOKUP(M6,B5:B24,G5:G24)</f>
        <v>10000</v>
      </c>
    </row>
    <row r="7" spans="1:17" x14ac:dyDescent="0.3">
      <c r="A7">
        <v>4</v>
      </c>
      <c r="B7" t="s">
        <v>204</v>
      </c>
      <c r="C7" t="s">
        <v>142</v>
      </c>
      <c r="D7" t="s">
        <v>143</v>
      </c>
      <c r="E7" t="s">
        <v>144</v>
      </c>
      <c r="F7" t="s">
        <v>162</v>
      </c>
      <c r="G7">
        <v>8750</v>
      </c>
      <c r="H7">
        <v>45614</v>
      </c>
      <c r="L7">
        <f t="shared" si="1"/>
        <v>8</v>
      </c>
      <c r="M7" s="20" t="s">
        <v>193</v>
      </c>
      <c r="N7" t="str">
        <f t="shared" si="2"/>
        <v>Mangalore</v>
      </c>
      <c r="O7" t="str">
        <f t="shared" si="3"/>
        <v>Accounts</v>
      </c>
      <c r="P7">
        <f t="shared" si="4"/>
        <v>6400</v>
      </c>
    </row>
    <row r="8" spans="1:17" x14ac:dyDescent="0.3">
      <c r="A8">
        <v>5</v>
      </c>
      <c r="B8" t="s">
        <v>190</v>
      </c>
      <c r="C8" t="s">
        <v>148</v>
      </c>
      <c r="D8" t="s">
        <v>191</v>
      </c>
      <c r="E8" t="s">
        <v>161</v>
      </c>
      <c r="F8" t="s">
        <v>145</v>
      </c>
      <c r="G8">
        <v>16250</v>
      </c>
      <c r="H8">
        <v>44941</v>
      </c>
      <c r="L8">
        <f t="shared" si="1"/>
        <v>8</v>
      </c>
      <c r="M8" s="20" t="s">
        <v>583</v>
      </c>
      <c r="N8" t="str">
        <f t="shared" si="2"/>
        <v>Mangalore</v>
      </c>
      <c r="O8" t="str">
        <f t="shared" si="3"/>
        <v>Accounts</v>
      </c>
      <c r="P8">
        <f t="shared" si="4"/>
        <v>6400</v>
      </c>
    </row>
    <row r="9" spans="1:17" x14ac:dyDescent="0.3">
      <c r="A9">
        <v>6</v>
      </c>
      <c r="B9" t="s">
        <v>178</v>
      </c>
      <c r="C9" t="s">
        <v>179</v>
      </c>
      <c r="D9" t="s">
        <v>143</v>
      </c>
      <c r="E9" t="s">
        <v>144</v>
      </c>
      <c r="F9" t="s">
        <v>145</v>
      </c>
      <c r="G9">
        <v>6250</v>
      </c>
      <c r="H9">
        <v>45200</v>
      </c>
      <c r="L9">
        <f t="shared" si="1"/>
        <v>13</v>
      </c>
      <c r="M9" s="20" t="s">
        <v>171</v>
      </c>
      <c r="N9" t="str">
        <f t="shared" si="2"/>
        <v>Kolkata</v>
      </c>
      <c r="O9" t="str">
        <f t="shared" si="3"/>
        <v>Marketing</v>
      </c>
      <c r="P9">
        <f t="shared" si="4"/>
        <v>4500</v>
      </c>
    </row>
    <row r="10" spans="1:17" x14ac:dyDescent="0.3">
      <c r="A10">
        <v>7</v>
      </c>
      <c r="B10" t="s">
        <v>180</v>
      </c>
      <c r="C10" t="s">
        <v>181</v>
      </c>
      <c r="D10" t="s">
        <v>182</v>
      </c>
      <c r="E10" t="s">
        <v>161</v>
      </c>
      <c r="F10" t="s">
        <v>151</v>
      </c>
      <c r="G10">
        <v>8750</v>
      </c>
      <c r="H10">
        <v>45200</v>
      </c>
      <c r="L10">
        <f t="shared" si="1"/>
        <v>10</v>
      </c>
      <c r="M10" s="20" t="s">
        <v>141</v>
      </c>
      <c r="N10" t="str">
        <f t="shared" si="2"/>
        <v>Mumbai</v>
      </c>
      <c r="O10" t="str">
        <f t="shared" si="3"/>
        <v>Training</v>
      </c>
      <c r="P10">
        <f t="shared" si="4"/>
        <v>30000</v>
      </c>
    </row>
    <row r="11" spans="1:17" x14ac:dyDescent="0.3">
      <c r="A11">
        <v>8</v>
      </c>
      <c r="B11" t="s">
        <v>193</v>
      </c>
      <c r="C11" t="s">
        <v>154</v>
      </c>
      <c r="D11" t="s">
        <v>189</v>
      </c>
      <c r="E11" t="s">
        <v>161</v>
      </c>
      <c r="F11" t="s">
        <v>151</v>
      </c>
      <c r="G11">
        <v>6400</v>
      </c>
      <c r="H11">
        <v>45614</v>
      </c>
      <c r="L11" t="e">
        <f t="shared" si="1"/>
        <v>#N/A</v>
      </c>
      <c r="M11" s="20" t="s">
        <v>147</v>
      </c>
      <c r="N11" t="e">
        <f t="shared" si="2"/>
        <v>#N/A</v>
      </c>
      <c r="O11" t="e">
        <f t="shared" si="3"/>
        <v>#N/A</v>
      </c>
      <c r="P11" t="e">
        <f t="shared" si="4"/>
        <v>#N/A</v>
      </c>
    </row>
    <row r="12" spans="1:17" x14ac:dyDescent="0.3">
      <c r="A12">
        <v>9</v>
      </c>
      <c r="B12" t="s">
        <v>167</v>
      </c>
      <c r="C12" t="s">
        <v>168</v>
      </c>
      <c r="D12" t="s">
        <v>169</v>
      </c>
      <c r="E12" t="s">
        <v>67</v>
      </c>
      <c r="F12" t="s">
        <v>151</v>
      </c>
      <c r="G12">
        <v>6400</v>
      </c>
      <c r="H12">
        <v>45614</v>
      </c>
    </row>
    <row r="13" spans="1:17" x14ac:dyDescent="0.3">
      <c r="A13">
        <v>10</v>
      </c>
      <c r="B13" t="s">
        <v>141</v>
      </c>
      <c r="C13" t="s">
        <v>142</v>
      </c>
      <c r="D13" t="s">
        <v>143</v>
      </c>
      <c r="E13" t="s">
        <v>144</v>
      </c>
      <c r="F13" t="s">
        <v>145</v>
      </c>
      <c r="G13">
        <v>30000</v>
      </c>
      <c r="H13">
        <v>44927</v>
      </c>
    </row>
    <row r="14" spans="1:17" x14ac:dyDescent="0.3">
      <c r="A14">
        <v>11</v>
      </c>
      <c r="B14" t="s">
        <v>210</v>
      </c>
      <c r="C14" t="s">
        <v>211</v>
      </c>
      <c r="D14" t="s">
        <v>155</v>
      </c>
      <c r="E14" t="s">
        <v>150</v>
      </c>
      <c r="F14" t="s">
        <v>145</v>
      </c>
      <c r="G14">
        <v>20000</v>
      </c>
      <c r="H14">
        <v>45635</v>
      </c>
    </row>
    <row r="15" spans="1:17" x14ac:dyDescent="0.3">
      <c r="A15">
        <v>12</v>
      </c>
      <c r="B15" t="s">
        <v>175</v>
      </c>
      <c r="C15" t="s">
        <v>176</v>
      </c>
      <c r="D15" t="s">
        <v>173</v>
      </c>
      <c r="E15" t="s">
        <v>67</v>
      </c>
      <c r="F15" t="s">
        <v>162</v>
      </c>
      <c r="G15">
        <v>6275</v>
      </c>
      <c r="H15">
        <v>45601</v>
      </c>
    </row>
    <row r="16" spans="1:17" x14ac:dyDescent="0.3">
      <c r="A16">
        <v>13</v>
      </c>
      <c r="B16" t="s">
        <v>171</v>
      </c>
      <c r="C16" t="s">
        <v>172</v>
      </c>
      <c r="D16" t="s">
        <v>173</v>
      </c>
      <c r="E16" t="s">
        <v>67</v>
      </c>
      <c r="F16" t="s">
        <v>156</v>
      </c>
      <c r="G16">
        <v>4500</v>
      </c>
      <c r="H16">
        <v>45631</v>
      </c>
      <c r="L16" s="72" t="s">
        <v>584</v>
      </c>
      <c r="M16" s="72"/>
      <c r="N16" s="72"/>
    </row>
    <row r="17" spans="1:8" x14ac:dyDescent="0.3">
      <c r="A17">
        <v>14</v>
      </c>
      <c r="B17" t="s">
        <v>195</v>
      </c>
      <c r="C17" t="s">
        <v>196</v>
      </c>
      <c r="D17" t="s">
        <v>149</v>
      </c>
      <c r="E17" t="s">
        <v>150</v>
      </c>
      <c r="F17" t="s">
        <v>156</v>
      </c>
      <c r="G17">
        <v>24000</v>
      </c>
      <c r="H17">
        <v>44944</v>
      </c>
    </row>
    <row r="18" spans="1:8" x14ac:dyDescent="0.3">
      <c r="A18">
        <v>15</v>
      </c>
      <c r="B18" t="s">
        <v>153</v>
      </c>
      <c r="C18" t="s">
        <v>154</v>
      </c>
      <c r="D18" t="s">
        <v>155</v>
      </c>
      <c r="E18" t="s">
        <v>150</v>
      </c>
      <c r="F18" t="s">
        <v>156</v>
      </c>
      <c r="G18">
        <v>11250</v>
      </c>
      <c r="H18">
        <v>45634</v>
      </c>
    </row>
    <row r="19" spans="1:8" x14ac:dyDescent="0.3">
      <c r="A19">
        <v>16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>
        <v>10000</v>
      </c>
      <c r="H19">
        <v>45628</v>
      </c>
    </row>
    <row r="20" spans="1:8" x14ac:dyDescent="0.3">
      <c r="A20">
        <v>17</v>
      </c>
      <c r="B20" t="s">
        <v>164</v>
      </c>
      <c r="C20" t="s">
        <v>165</v>
      </c>
      <c r="D20" t="s">
        <v>149</v>
      </c>
      <c r="E20" t="s">
        <v>150</v>
      </c>
      <c r="F20" t="s">
        <v>145</v>
      </c>
      <c r="G20">
        <v>16250</v>
      </c>
      <c r="H20">
        <v>45200</v>
      </c>
    </row>
    <row r="21" spans="1:8" x14ac:dyDescent="0.3">
      <c r="A21">
        <v>18</v>
      </c>
      <c r="B21" t="s">
        <v>200</v>
      </c>
      <c r="C21" t="s">
        <v>142</v>
      </c>
      <c r="D21" t="s">
        <v>143</v>
      </c>
      <c r="E21" t="s">
        <v>144</v>
      </c>
      <c r="F21" t="s">
        <v>202</v>
      </c>
      <c r="G21">
        <v>6250</v>
      </c>
      <c r="H21">
        <v>44927</v>
      </c>
    </row>
    <row r="22" spans="1:8" x14ac:dyDescent="0.3">
      <c r="A22">
        <v>19</v>
      </c>
      <c r="B22" t="s">
        <v>187</v>
      </c>
      <c r="C22" t="s">
        <v>188</v>
      </c>
      <c r="D22" t="s">
        <v>189</v>
      </c>
      <c r="E22" t="s">
        <v>161</v>
      </c>
      <c r="F22" t="s">
        <v>162</v>
      </c>
      <c r="G22">
        <v>10000</v>
      </c>
      <c r="H22">
        <v>45634</v>
      </c>
    </row>
    <row r="23" spans="1:8" x14ac:dyDescent="0.3">
      <c r="A23">
        <v>20</v>
      </c>
      <c r="B23" t="s">
        <v>198</v>
      </c>
      <c r="C23" t="s">
        <v>176</v>
      </c>
      <c r="D23" t="s">
        <v>189</v>
      </c>
      <c r="E23" t="s">
        <v>161</v>
      </c>
      <c r="F23" t="s">
        <v>162</v>
      </c>
      <c r="G23">
        <v>6275</v>
      </c>
      <c r="H23">
        <v>45611</v>
      </c>
    </row>
    <row r="47" spans="1:3" x14ac:dyDescent="0.3">
      <c r="A47" s="19"/>
      <c r="B47" s="19"/>
      <c r="C47" s="19"/>
    </row>
  </sheetData>
  <sortState xmlns:xlrd2="http://schemas.microsoft.com/office/spreadsheetml/2017/richdata2" ref="A4:H23">
    <sortCondition ref="A4:A23"/>
  </sortState>
  <conditionalFormatting sqref="I3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E4:E23" xr:uid="{D28E5DDA-F7A2-4AFA-96FE-C71FB483BBCE}">
      <formula1>"E,W,S,N"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BBDE-C41E-4ED9-BD45-0F0E40402752}">
  <sheetPr codeName="Sheet23"/>
  <dimension ref="A1:P22"/>
  <sheetViews>
    <sheetView zoomScale="110" workbookViewId="0">
      <selection activeCell="I12" sqref="I12"/>
    </sheetView>
  </sheetViews>
  <sheetFormatPr defaultRowHeight="14.4" x14ac:dyDescent="0.3"/>
  <cols>
    <col min="2" max="2" width="13.109375" customWidth="1"/>
    <col min="3" max="3" width="13.77734375" customWidth="1"/>
    <col min="4" max="4" width="11.5546875" customWidth="1"/>
    <col min="11" max="11" width="16" customWidth="1"/>
    <col min="12" max="12" width="17.109375" customWidth="1"/>
    <col min="13" max="13" width="16.77734375" customWidth="1"/>
    <col min="14" max="14" width="26.33203125" customWidth="1"/>
    <col min="15" max="15" width="16.5546875" customWidth="1"/>
    <col min="16" max="16" width="17.77734375" customWidth="1"/>
  </cols>
  <sheetData>
    <row r="1" spans="1:16" x14ac:dyDescent="0.3">
      <c r="B1" s="134" t="s">
        <v>638</v>
      </c>
      <c r="C1" s="134"/>
      <c r="D1" s="134"/>
      <c r="E1" s="134"/>
      <c r="F1" s="134"/>
    </row>
    <row r="2" spans="1:16" ht="43.2" x14ac:dyDescent="0.3">
      <c r="A2" s="31" t="s">
        <v>134</v>
      </c>
      <c r="B2" s="31" t="s">
        <v>576</v>
      </c>
      <c r="C2" s="31" t="s">
        <v>577</v>
      </c>
      <c r="D2" s="31" t="s">
        <v>137</v>
      </c>
      <c r="E2" s="31" t="s">
        <v>578</v>
      </c>
      <c r="F2" s="31" t="s">
        <v>579</v>
      </c>
      <c r="G2" s="31" t="s">
        <v>580</v>
      </c>
      <c r="H2" s="31" t="s">
        <v>581</v>
      </c>
      <c r="L2" s="116" t="str">
        <f ca="1">_xlfn.FORMULATEXT(L4)</f>
        <v>=XLOOKUP(M4,B3:B22,A3:A22,"NA",0)</v>
      </c>
      <c r="N2" s="116"/>
      <c r="O2" s="116" t="str">
        <f ca="1">_xlfn.FORMULATEXT(O4)</f>
        <v>=XLOOKUP(M4,B3:B22,F3:F22,"Data not found",0)</v>
      </c>
      <c r="P2" s="116" t="str">
        <f ca="1">_xlfn.FORMULATEXT(P4)</f>
        <v>=XLOOKUP(M4,B3:B22,G3:G22,0,0)</v>
      </c>
    </row>
    <row r="3" spans="1:16" x14ac:dyDescent="0.3">
      <c r="A3">
        <v>20</v>
      </c>
      <c r="B3" t="s">
        <v>198</v>
      </c>
      <c r="C3" t="s">
        <v>176</v>
      </c>
      <c r="D3" t="s">
        <v>189</v>
      </c>
      <c r="E3" t="s">
        <v>161</v>
      </c>
      <c r="F3" t="s">
        <v>162</v>
      </c>
      <c r="G3">
        <v>6275</v>
      </c>
      <c r="H3">
        <v>45611</v>
      </c>
      <c r="L3" s="31" t="s">
        <v>134</v>
      </c>
      <c r="M3" s="31" t="s">
        <v>576</v>
      </c>
      <c r="N3" s="31" t="s">
        <v>137</v>
      </c>
      <c r="O3" s="31" t="s">
        <v>481</v>
      </c>
      <c r="P3" s="31" t="s">
        <v>582</v>
      </c>
    </row>
    <row r="4" spans="1:16" x14ac:dyDescent="0.3">
      <c r="A4">
        <v>19</v>
      </c>
      <c r="B4" t="s">
        <v>187</v>
      </c>
      <c r="C4" t="s">
        <v>188</v>
      </c>
      <c r="D4" t="s">
        <v>189</v>
      </c>
      <c r="E4" t="s">
        <v>161</v>
      </c>
      <c r="F4" t="s">
        <v>162</v>
      </c>
      <c r="G4">
        <v>10000</v>
      </c>
      <c r="H4">
        <v>45634</v>
      </c>
      <c r="L4">
        <f>_xlfn.XLOOKUP(M4,B3:B22,A3:A22,"NA",0)</f>
        <v>10</v>
      </c>
      <c r="M4" s="20" t="s">
        <v>141</v>
      </c>
      <c r="N4" t="str">
        <f>_xlfn.XLOOKUP(M4,NAME,City,"Data Not Found",0)</f>
        <v>Mumbai</v>
      </c>
      <c r="O4" t="str">
        <f>_xlfn.XLOOKUP(M4,B3:B22,F3:F22,"Data not found",0)</f>
        <v>Training</v>
      </c>
      <c r="P4">
        <f>_xlfn.XLOOKUP(M4,B3:B22,G3:G22,0,0)</f>
        <v>30000</v>
      </c>
    </row>
    <row r="5" spans="1:16" x14ac:dyDescent="0.3">
      <c r="A5">
        <v>18</v>
      </c>
      <c r="B5" t="s">
        <v>200</v>
      </c>
      <c r="C5" t="s">
        <v>142</v>
      </c>
      <c r="D5" t="s">
        <v>143</v>
      </c>
      <c r="E5" t="s">
        <v>144</v>
      </c>
      <c r="F5" t="s">
        <v>202</v>
      </c>
      <c r="G5">
        <v>6250</v>
      </c>
      <c r="H5">
        <v>44927</v>
      </c>
      <c r="L5">
        <f t="shared" ref="L5:L10" si="0">_xlfn.XLOOKUP(M5,B4:B23,A4:A23,"NA",0)</f>
        <v>3</v>
      </c>
      <c r="M5" s="20" t="s">
        <v>147</v>
      </c>
      <c r="N5" t="str">
        <f t="shared" ref="N5:N10" si="1">_xlfn.XLOOKUP(M5,NAME,City,"Data Not Found",0,-1)</f>
        <v>Delhi</v>
      </c>
      <c r="O5" t="str">
        <f t="shared" ref="O5:O10" si="2">_xlfn.XLOOKUP(M5,B4:B23,F4:F23,"Data not found",0)</f>
        <v>Accounts</v>
      </c>
      <c r="P5">
        <f t="shared" ref="P5:P10" si="3">_xlfn.XLOOKUP(M5,B4:B23,G4:G23,0,0)</f>
        <v>8750</v>
      </c>
    </row>
    <row r="6" spans="1:16" x14ac:dyDescent="0.3">
      <c r="A6">
        <v>17</v>
      </c>
      <c r="B6" t="s">
        <v>164</v>
      </c>
      <c r="C6" t="s">
        <v>165</v>
      </c>
      <c r="D6" t="s">
        <v>149</v>
      </c>
      <c r="E6" t="s">
        <v>150</v>
      </c>
      <c r="F6" t="s">
        <v>145</v>
      </c>
      <c r="G6">
        <v>16250</v>
      </c>
      <c r="H6">
        <v>45200</v>
      </c>
      <c r="L6">
        <f t="shared" si="0"/>
        <v>15</v>
      </c>
      <c r="M6" s="20" t="s">
        <v>153</v>
      </c>
      <c r="N6" t="str">
        <f t="shared" si="1"/>
        <v>Noida</v>
      </c>
      <c r="O6" t="str">
        <f t="shared" si="2"/>
        <v>Marketing</v>
      </c>
      <c r="P6">
        <f t="shared" si="3"/>
        <v>11250</v>
      </c>
    </row>
    <row r="7" spans="1:16" x14ac:dyDescent="0.3">
      <c r="A7">
        <v>16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>
        <v>10000</v>
      </c>
      <c r="H7">
        <v>45628</v>
      </c>
      <c r="L7">
        <f t="shared" si="0"/>
        <v>16</v>
      </c>
      <c r="M7" s="20" t="s">
        <v>158</v>
      </c>
      <c r="N7" t="str">
        <f t="shared" si="1"/>
        <v>Chennai</v>
      </c>
      <c r="O7" t="str">
        <f t="shared" si="2"/>
        <v>R&amp;D</v>
      </c>
      <c r="P7">
        <f t="shared" si="3"/>
        <v>10000</v>
      </c>
    </row>
    <row r="8" spans="1:16" x14ac:dyDescent="0.3">
      <c r="A8">
        <v>15</v>
      </c>
      <c r="B8" t="s">
        <v>153</v>
      </c>
      <c r="C8" t="s">
        <v>154</v>
      </c>
      <c r="D8" t="s">
        <v>155</v>
      </c>
      <c r="E8" t="s">
        <v>150</v>
      </c>
      <c r="F8" t="s">
        <v>156</v>
      </c>
      <c r="G8">
        <v>11250</v>
      </c>
      <c r="H8">
        <v>45634</v>
      </c>
      <c r="L8" t="str">
        <f t="shared" si="0"/>
        <v>NA</v>
      </c>
      <c r="M8" s="20" t="s">
        <v>187</v>
      </c>
      <c r="N8" t="str">
        <f t="shared" si="1"/>
        <v>Mangalore</v>
      </c>
      <c r="O8" t="str">
        <f t="shared" si="2"/>
        <v>Data not found</v>
      </c>
      <c r="P8">
        <f t="shared" si="3"/>
        <v>0</v>
      </c>
    </row>
    <row r="9" spans="1:16" x14ac:dyDescent="0.3">
      <c r="A9">
        <v>14</v>
      </c>
      <c r="B9" t="s">
        <v>195</v>
      </c>
      <c r="C9" t="s">
        <v>196</v>
      </c>
      <c r="D9" t="s">
        <v>149</v>
      </c>
      <c r="E9" t="s">
        <v>150</v>
      </c>
      <c r="F9" t="s">
        <v>156</v>
      </c>
      <c r="G9">
        <v>24000</v>
      </c>
      <c r="H9">
        <v>44944</v>
      </c>
      <c r="L9" t="str">
        <f t="shared" si="0"/>
        <v>NA</v>
      </c>
      <c r="M9" s="20" t="s">
        <v>451</v>
      </c>
      <c r="N9" t="str">
        <f t="shared" si="1"/>
        <v>Data Not Found</v>
      </c>
      <c r="O9" t="str">
        <f t="shared" si="2"/>
        <v>Data not found</v>
      </c>
      <c r="P9">
        <f t="shared" si="3"/>
        <v>0</v>
      </c>
    </row>
    <row r="10" spans="1:16" x14ac:dyDescent="0.3">
      <c r="A10">
        <v>13</v>
      </c>
      <c r="B10" t="s">
        <v>171</v>
      </c>
      <c r="C10" t="s">
        <v>172</v>
      </c>
      <c r="D10" t="s">
        <v>173</v>
      </c>
      <c r="E10" t="s">
        <v>67</v>
      </c>
      <c r="F10" t="s">
        <v>156</v>
      </c>
      <c r="G10">
        <v>4500</v>
      </c>
      <c r="H10">
        <v>45631</v>
      </c>
      <c r="L10">
        <f t="shared" si="0"/>
        <v>13</v>
      </c>
      <c r="M10" s="20" t="s">
        <v>171</v>
      </c>
      <c r="N10" t="str">
        <f t="shared" si="1"/>
        <v>Kolkata</v>
      </c>
      <c r="O10" t="str">
        <f t="shared" si="2"/>
        <v>Marketing</v>
      </c>
      <c r="P10">
        <f t="shared" si="3"/>
        <v>4500</v>
      </c>
    </row>
    <row r="11" spans="1:16" x14ac:dyDescent="0.3">
      <c r="A11">
        <v>12</v>
      </c>
      <c r="B11" t="s">
        <v>175</v>
      </c>
      <c r="C11" t="s">
        <v>176</v>
      </c>
      <c r="D11" t="s">
        <v>173</v>
      </c>
      <c r="E11" t="s">
        <v>67</v>
      </c>
      <c r="F11" t="s">
        <v>162</v>
      </c>
      <c r="G11">
        <v>6275</v>
      </c>
      <c r="H11">
        <v>45601</v>
      </c>
    </row>
    <row r="12" spans="1:16" x14ac:dyDescent="0.3">
      <c r="A12">
        <v>11</v>
      </c>
      <c r="B12" t="s">
        <v>210</v>
      </c>
      <c r="C12" t="s">
        <v>211</v>
      </c>
      <c r="D12" t="s">
        <v>155</v>
      </c>
      <c r="E12" t="s">
        <v>150</v>
      </c>
      <c r="F12" t="s">
        <v>145</v>
      </c>
      <c r="G12">
        <v>20000</v>
      </c>
      <c r="H12">
        <v>45635</v>
      </c>
    </row>
    <row r="13" spans="1:16" x14ac:dyDescent="0.3">
      <c r="A13">
        <v>10</v>
      </c>
      <c r="B13" t="s">
        <v>141</v>
      </c>
      <c r="C13" t="s">
        <v>142</v>
      </c>
      <c r="D13" t="s">
        <v>143</v>
      </c>
      <c r="E13" t="s">
        <v>144</v>
      </c>
      <c r="F13" t="s">
        <v>145</v>
      </c>
      <c r="G13">
        <v>30000</v>
      </c>
      <c r="H13">
        <v>44927</v>
      </c>
      <c r="L13" s="75" t="s">
        <v>134</v>
      </c>
      <c r="M13" s="75" t="s">
        <v>576</v>
      </c>
      <c r="N13" s="75" t="s">
        <v>45</v>
      </c>
      <c r="O13" s="19"/>
      <c r="P13" s="19"/>
    </row>
    <row r="14" spans="1:16" x14ac:dyDescent="0.3">
      <c r="A14">
        <v>9</v>
      </c>
      <c r="B14" t="s">
        <v>167</v>
      </c>
      <c r="C14" t="s">
        <v>168</v>
      </c>
      <c r="D14" t="s">
        <v>169</v>
      </c>
      <c r="E14" t="s">
        <v>67</v>
      </c>
      <c r="F14" t="s">
        <v>151</v>
      </c>
      <c r="G14">
        <v>6400</v>
      </c>
      <c r="H14">
        <v>45614</v>
      </c>
      <c r="L14">
        <v>5</v>
      </c>
      <c r="M14" t="str">
        <f t="shared" ref="M14:M22" si="4">_xlfn.XLOOKUP(L14,Emp_Code,NAME,"data Not found",0)</f>
        <v>Anupam Mishra</v>
      </c>
      <c r="N14" t="str">
        <f t="shared" ref="N14:N22" si="5">IFERROR(_xlfn.XLOOKUP(L14,Emp_Code,NAME,,0),"Data Not found")</f>
        <v>Anupam Mishra</v>
      </c>
    </row>
    <row r="15" spans="1:16" x14ac:dyDescent="0.3">
      <c r="A15">
        <v>8</v>
      </c>
      <c r="B15" t="s">
        <v>193</v>
      </c>
      <c r="C15" t="s">
        <v>154</v>
      </c>
      <c r="D15" t="s">
        <v>189</v>
      </c>
      <c r="E15" t="s">
        <v>161</v>
      </c>
      <c r="F15" t="s">
        <v>151</v>
      </c>
      <c r="G15">
        <v>6400</v>
      </c>
      <c r="H15">
        <v>45614</v>
      </c>
      <c r="L15">
        <v>6</v>
      </c>
      <c r="M15" t="str">
        <f t="shared" si="4"/>
        <v>Arjun Jain</v>
      </c>
      <c r="N15" t="str">
        <f t="shared" si="5"/>
        <v>Arjun Jain</v>
      </c>
    </row>
    <row r="16" spans="1:16" x14ac:dyDescent="0.3">
      <c r="A16">
        <v>7</v>
      </c>
      <c r="B16" t="s">
        <v>180</v>
      </c>
      <c r="C16" t="s">
        <v>181</v>
      </c>
      <c r="D16" t="s">
        <v>182</v>
      </c>
      <c r="E16" t="s">
        <v>161</v>
      </c>
      <c r="F16" t="s">
        <v>151</v>
      </c>
      <c r="G16">
        <v>8750</v>
      </c>
      <c r="H16">
        <v>45200</v>
      </c>
      <c r="L16">
        <v>7</v>
      </c>
      <c r="M16" t="str">
        <f t="shared" si="4"/>
        <v>Arjun Kapoor</v>
      </c>
      <c r="N16" t="str">
        <f t="shared" si="5"/>
        <v>Arjun Kapoor</v>
      </c>
    </row>
    <row r="17" spans="1:14" x14ac:dyDescent="0.3">
      <c r="A17">
        <v>6</v>
      </c>
      <c r="B17" t="s">
        <v>178</v>
      </c>
      <c r="C17" t="s">
        <v>179</v>
      </c>
      <c r="D17" t="s">
        <v>143</v>
      </c>
      <c r="E17" t="s">
        <v>144</v>
      </c>
      <c r="F17" t="s">
        <v>145</v>
      </c>
      <c r="G17">
        <v>6250</v>
      </c>
      <c r="H17">
        <v>45200</v>
      </c>
      <c r="L17">
        <v>8</v>
      </c>
      <c r="M17" t="str">
        <f t="shared" si="4"/>
        <v>Ashwini</v>
      </c>
      <c r="N17" t="str">
        <f t="shared" si="5"/>
        <v>Ashwini</v>
      </c>
    </row>
    <row r="18" spans="1:14" x14ac:dyDescent="0.3">
      <c r="A18">
        <v>5</v>
      </c>
      <c r="B18" t="s">
        <v>190</v>
      </c>
      <c r="C18" t="s">
        <v>148</v>
      </c>
      <c r="D18" t="s">
        <v>191</v>
      </c>
      <c r="E18" t="s">
        <v>161</v>
      </c>
      <c r="F18" t="s">
        <v>145</v>
      </c>
      <c r="G18">
        <v>16250</v>
      </c>
      <c r="H18">
        <v>44941</v>
      </c>
      <c r="L18">
        <v>9</v>
      </c>
      <c r="M18" t="str">
        <f t="shared" si="4"/>
        <v>Jharna Biswal</v>
      </c>
      <c r="N18" t="str">
        <f t="shared" si="5"/>
        <v>Jharna Biswal</v>
      </c>
    </row>
    <row r="19" spans="1:14" x14ac:dyDescent="0.3">
      <c r="A19">
        <v>4</v>
      </c>
      <c r="B19" t="s">
        <v>204</v>
      </c>
      <c r="C19" t="s">
        <v>142</v>
      </c>
      <c r="D19" t="s">
        <v>143</v>
      </c>
      <c r="E19" t="s">
        <v>144</v>
      </c>
      <c r="F19" t="s">
        <v>162</v>
      </c>
      <c r="G19">
        <v>8750</v>
      </c>
      <c r="H19">
        <v>45614</v>
      </c>
      <c r="L19">
        <v>10</v>
      </c>
      <c r="M19" t="str">
        <f t="shared" si="4"/>
        <v>JP Kumar</v>
      </c>
      <c r="N19" t="str">
        <f t="shared" si="5"/>
        <v>JP Kumar</v>
      </c>
    </row>
    <row r="20" spans="1:14" x14ac:dyDescent="0.3">
      <c r="A20">
        <v>3</v>
      </c>
      <c r="B20" t="s">
        <v>147</v>
      </c>
      <c r="C20" t="s">
        <v>148</v>
      </c>
      <c r="D20" t="s">
        <v>149</v>
      </c>
      <c r="E20" t="s">
        <v>161</v>
      </c>
      <c r="F20" t="s">
        <v>151</v>
      </c>
      <c r="G20">
        <v>8750</v>
      </c>
      <c r="H20">
        <v>45604</v>
      </c>
      <c r="L20" s="17">
        <v>22</v>
      </c>
      <c r="M20" t="str">
        <f t="shared" si="4"/>
        <v>data Not found</v>
      </c>
      <c r="N20" t="str">
        <f t="shared" si="5"/>
        <v>Data Not found</v>
      </c>
    </row>
    <row r="21" spans="1:14" x14ac:dyDescent="0.3">
      <c r="A21">
        <v>2</v>
      </c>
      <c r="B21" t="s">
        <v>207</v>
      </c>
      <c r="C21" t="s">
        <v>208</v>
      </c>
      <c r="D21" t="s">
        <v>209</v>
      </c>
      <c r="E21" t="s">
        <v>144</v>
      </c>
      <c r="F21" t="s">
        <v>202</v>
      </c>
      <c r="G21">
        <v>11250</v>
      </c>
      <c r="H21">
        <v>45611</v>
      </c>
      <c r="L21">
        <v>12</v>
      </c>
      <c r="M21" t="str">
        <f t="shared" si="4"/>
        <v>Manisha Guha</v>
      </c>
      <c r="N21" t="str">
        <f t="shared" si="5"/>
        <v>Manisha Guha</v>
      </c>
    </row>
    <row r="22" spans="1:14" x14ac:dyDescent="0.3">
      <c r="A22">
        <v>1</v>
      </c>
      <c r="B22" t="s">
        <v>184</v>
      </c>
      <c r="C22" t="s">
        <v>185</v>
      </c>
      <c r="D22" t="s">
        <v>182</v>
      </c>
      <c r="E22" t="s">
        <v>161</v>
      </c>
      <c r="F22" t="s">
        <v>156</v>
      </c>
      <c r="G22">
        <v>11250</v>
      </c>
      <c r="H22">
        <v>45634</v>
      </c>
      <c r="L22">
        <v>13</v>
      </c>
      <c r="M22" t="str">
        <f t="shared" si="4"/>
        <v>Prakash Dutta</v>
      </c>
      <c r="N22" t="str">
        <f t="shared" si="5"/>
        <v>Prakash Dutta</v>
      </c>
    </row>
  </sheetData>
  <sortState xmlns:xlrd2="http://schemas.microsoft.com/office/spreadsheetml/2017/richdata2" ref="A3:H22">
    <sortCondition descending="1" ref="A3:A22"/>
  </sortState>
  <mergeCells count="1">
    <mergeCell ref="B1:F1"/>
  </mergeCells>
  <conditionalFormatting sqref="I2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4 E3:E22" xr:uid="{E2A32E42-6587-4F2B-B246-33DAAFFB41B5}">
      <formula1>"E,W,S,N"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7C14-45CC-47E8-9BD9-1350A9B1238F}">
  <sheetPr codeName="Sheet24"/>
  <dimension ref="A1:R29"/>
  <sheetViews>
    <sheetView zoomScale="107" workbookViewId="0">
      <selection activeCell="H8" sqref="H8"/>
    </sheetView>
  </sheetViews>
  <sheetFormatPr defaultRowHeight="14.4" x14ac:dyDescent="0.3"/>
  <cols>
    <col min="2" max="2" width="26.33203125" customWidth="1"/>
    <col min="7" max="7" width="28.77734375" style="120" customWidth="1"/>
    <col min="8" max="8" width="10.44140625" bestFit="1" customWidth="1"/>
  </cols>
  <sheetData>
    <row r="1" spans="1:18" x14ac:dyDescent="0.3">
      <c r="A1" s="17" t="s">
        <v>134</v>
      </c>
      <c r="B1" s="17" t="s">
        <v>576</v>
      </c>
      <c r="C1" s="17" t="s">
        <v>577</v>
      </c>
      <c r="D1" s="17" t="s">
        <v>585</v>
      </c>
      <c r="E1" s="17" t="s">
        <v>578</v>
      </c>
      <c r="F1" s="17" t="s">
        <v>579</v>
      </c>
      <c r="G1" s="119" t="s">
        <v>586</v>
      </c>
      <c r="H1" s="17" t="s">
        <v>581</v>
      </c>
      <c r="I1" s="17"/>
    </row>
    <row r="2" spans="1:18" x14ac:dyDescent="0.3">
      <c r="A2">
        <v>21</v>
      </c>
      <c r="B2" t="s">
        <v>642</v>
      </c>
      <c r="C2" t="s">
        <v>643</v>
      </c>
      <c r="D2" t="s">
        <v>644</v>
      </c>
      <c r="E2" t="s">
        <v>144</v>
      </c>
      <c r="F2" t="s">
        <v>629</v>
      </c>
      <c r="G2" s="120">
        <v>3000</v>
      </c>
      <c r="H2" s="34">
        <v>45667</v>
      </c>
    </row>
    <row r="3" spans="1:18" x14ac:dyDescent="0.3">
      <c r="A3">
        <v>20</v>
      </c>
      <c r="B3" t="s">
        <v>210</v>
      </c>
      <c r="C3" t="s">
        <v>211</v>
      </c>
      <c r="D3" t="s">
        <v>155</v>
      </c>
      <c r="E3" t="s">
        <v>150</v>
      </c>
      <c r="F3" t="s">
        <v>145</v>
      </c>
      <c r="G3" s="120">
        <v>20000</v>
      </c>
      <c r="H3" s="34">
        <v>45635</v>
      </c>
    </row>
    <row r="4" spans="1:18" x14ac:dyDescent="0.3">
      <c r="A4">
        <v>19</v>
      </c>
      <c r="B4" t="s">
        <v>207</v>
      </c>
      <c r="C4" t="s">
        <v>208</v>
      </c>
      <c r="D4" t="s">
        <v>209</v>
      </c>
      <c r="E4" t="s">
        <v>144</v>
      </c>
      <c r="F4" t="s">
        <v>202</v>
      </c>
      <c r="G4" s="120">
        <v>11250</v>
      </c>
      <c r="H4" s="34">
        <v>45611</v>
      </c>
      <c r="N4" s="118" t="s">
        <v>639</v>
      </c>
    </row>
    <row r="5" spans="1:18" x14ac:dyDescent="0.3">
      <c r="A5">
        <v>18</v>
      </c>
      <c r="B5" t="s">
        <v>204</v>
      </c>
      <c r="C5" t="s">
        <v>142</v>
      </c>
      <c r="D5" t="s">
        <v>143</v>
      </c>
      <c r="E5" t="s">
        <v>144</v>
      </c>
      <c r="F5" t="s">
        <v>162</v>
      </c>
      <c r="G5" s="120">
        <v>8750</v>
      </c>
      <c r="H5" s="34">
        <v>45614</v>
      </c>
      <c r="N5" s="138" t="s">
        <v>640</v>
      </c>
      <c r="O5" s="138"/>
      <c r="P5" s="138"/>
      <c r="Q5" s="138"/>
      <c r="R5" s="138"/>
    </row>
    <row r="6" spans="1:18" x14ac:dyDescent="0.3">
      <c r="A6">
        <v>17</v>
      </c>
      <c r="B6" t="s">
        <v>200</v>
      </c>
      <c r="C6" t="s">
        <v>142</v>
      </c>
      <c r="D6" t="s">
        <v>143</v>
      </c>
      <c r="E6" t="s">
        <v>144</v>
      </c>
      <c r="F6" t="s">
        <v>202</v>
      </c>
      <c r="G6" s="120">
        <v>6250</v>
      </c>
      <c r="H6" s="34">
        <v>44927</v>
      </c>
      <c r="N6" s="138"/>
      <c r="O6" s="138"/>
      <c r="P6" s="138"/>
      <c r="Q6" s="138"/>
      <c r="R6" s="138"/>
    </row>
    <row r="7" spans="1:18" x14ac:dyDescent="0.3">
      <c r="A7">
        <v>16</v>
      </c>
      <c r="B7" t="s">
        <v>198</v>
      </c>
      <c r="C7" t="s">
        <v>176</v>
      </c>
      <c r="D7" t="s">
        <v>189</v>
      </c>
      <c r="E7" t="s">
        <v>161</v>
      </c>
      <c r="F7" t="s">
        <v>162</v>
      </c>
      <c r="G7" s="120">
        <v>6275</v>
      </c>
      <c r="H7" s="34">
        <v>45611</v>
      </c>
      <c r="N7" s="138"/>
      <c r="O7" s="138"/>
      <c r="P7" s="138"/>
      <c r="Q7" s="138"/>
      <c r="R7" s="138"/>
    </row>
    <row r="8" spans="1:18" x14ac:dyDescent="0.3">
      <c r="A8">
        <v>15</v>
      </c>
      <c r="B8" t="s">
        <v>195</v>
      </c>
      <c r="C8" t="s">
        <v>196</v>
      </c>
      <c r="D8" t="s">
        <v>149</v>
      </c>
      <c r="E8" t="s">
        <v>150</v>
      </c>
      <c r="F8" t="s">
        <v>156</v>
      </c>
      <c r="G8" s="120">
        <v>24000</v>
      </c>
      <c r="H8" s="34">
        <v>44944</v>
      </c>
    </row>
    <row r="9" spans="1:18" x14ac:dyDescent="0.3">
      <c r="A9">
        <v>14</v>
      </c>
      <c r="B9" t="s">
        <v>193</v>
      </c>
      <c r="C9" t="s">
        <v>154</v>
      </c>
      <c r="D9" t="s">
        <v>189</v>
      </c>
      <c r="E9" t="s">
        <v>161</v>
      </c>
      <c r="F9" t="s">
        <v>151</v>
      </c>
      <c r="G9" s="120">
        <v>6400</v>
      </c>
      <c r="H9" s="34">
        <v>45614</v>
      </c>
    </row>
    <row r="10" spans="1:18" x14ac:dyDescent="0.3">
      <c r="A10">
        <v>13</v>
      </c>
      <c r="B10" t="s">
        <v>190</v>
      </c>
      <c r="C10" t="s">
        <v>148</v>
      </c>
      <c r="D10" t="s">
        <v>191</v>
      </c>
      <c r="E10" t="s">
        <v>161</v>
      </c>
      <c r="F10" t="s">
        <v>145</v>
      </c>
      <c r="G10" s="120">
        <v>16250</v>
      </c>
      <c r="H10" s="34">
        <v>44941</v>
      </c>
    </row>
    <row r="11" spans="1:18" x14ac:dyDescent="0.3">
      <c r="A11">
        <v>12</v>
      </c>
      <c r="B11" t="s">
        <v>187</v>
      </c>
      <c r="C11" t="s">
        <v>188</v>
      </c>
      <c r="D11" t="s">
        <v>189</v>
      </c>
      <c r="E11" t="s">
        <v>161</v>
      </c>
      <c r="F11" t="s">
        <v>162</v>
      </c>
      <c r="G11" s="120">
        <v>10000</v>
      </c>
      <c r="H11" s="34">
        <v>45634</v>
      </c>
      <c r="N11" t="s">
        <v>256</v>
      </c>
      <c r="O11">
        <f>MATCH(N11,A1:H1,0)</f>
        <v>8</v>
      </c>
      <c r="P11" s="139" t="str">
        <f ca="1">_xlfn.FORMULATEXT(O11)</f>
        <v>=MATCH(N11,A1:H1,0)</v>
      </c>
      <c r="Q11" s="139"/>
      <c r="R11" s="139"/>
    </row>
    <row r="12" spans="1:18" x14ac:dyDescent="0.3">
      <c r="A12">
        <v>11</v>
      </c>
      <c r="B12" t="s">
        <v>184</v>
      </c>
      <c r="C12" t="s">
        <v>185</v>
      </c>
      <c r="D12" t="s">
        <v>182</v>
      </c>
      <c r="E12" t="s">
        <v>161</v>
      </c>
      <c r="F12" t="s">
        <v>156</v>
      </c>
      <c r="G12" s="120">
        <v>11250</v>
      </c>
      <c r="H12" s="34">
        <v>45634</v>
      </c>
      <c r="N12" t="s">
        <v>136</v>
      </c>
      <c r="O12">
        <f>MATCH(N12,A1:H1,0)</f>
        <v>3</v>
      </c>
      <c r="P12" s="139" t="str">
        <f t="shared" ref="P12:P13" ca="1" si="0">_xlfn.FORMULATEXT(O12)</f>
        <v>=MATCH(N12,A1:H1,0)</v>
      </c>
      <c r="Q12" s="139"/>
      <c r="R12" s="139"/>
    </row>
    <row r="13" spans="1:18" x14ac:dyDescent="0.3">
      <c r="A13">
        <v>10</v>
      </c>
      <c r="B13" t="s">
        <v>180</v>
      </c>
      <c r="C13" t="s">
        <v>181</v>
      </c>
      <c r="D13" t="s">
        <v>182</v>
      </c>
      <c r="E13" t="s">
        <v>161</v>
      </c>
      <c r="F13" t="s">
        <v>151</v>
      </c>
      <c r="G13" s="120">
        <v>8750</v>
      </c>
      <c r="H13" s="34">
        <v>45200</v>
      </c>
      <c r="N13" t="s">
        <v>591</v>
      </c>
      <c r="O13">
        <f>MATCH(N13,Header,0)</f>
        <v>7</v>
      </c>
      <c r="P13" s="139" t="str">
        <f t="shared" ca="1" si="0"/>
        <v>=MATCH(N13,Header,0)</v>
      </c>
      <c r="Q13" s="139"/>
      <c r="R13" s="139"/>
    </row>
    <row r="14" spans="1:18" x14ac:dyDescent="0.3">
      <c r="A14">
        <v>9</v>
      </c>
      <c r="B14" t="s">
        <v>178</v>
      </c>
      <c r="C14" t="s">
        <v>179</v>
      </c>
      <c r="D14" t="s">
        <v>143</v>
      </c>
      <c r="E14" t="s">
        <v>144</v>
      </c>
      <c r="F14" t="s">
        <v>145</v>
      </c>
      <c r="G14" s="120">
        <v>6250</v>
      </c>
      <c r="H14" s="34">
        <v>45200</v>
      </c>
    </row>
    <row r="15" spans="1:18" x14ac:dyDescent="0.3">
      <c r="A15">
        <v>8</v>
      </c>
      <c r="B15" t="s">
        <v>175</v>
      </c>
      <c r="C15" t="s">
        <v>176</v>
      </c>
      <c r="D15" t="s">
        <v>587</v>
      </c>
      <c r="E15" t="s">
        <v>67</v>
      </c>
      <c r="F15" t="s">
        <v>162</v>
      </c>
      <c r="G15" s="120">
        <v>6275</v>
      </c>
      <c r="H15" s="34">
        <v>45601</v>
      </c>
    </row>
    <row r="16" spans="1:18" x14ac:dyDescent="0.3">
      <c r="A16">
        <v>7</v>
      </c>
      <c r="B16" t="s">
        <v>171</v>
      </c>
      <c r="C16" t="s">
        <v>172</v>
      </c>
      <c r="D16" t="s">
        <v>173</v>
      </c>
      <c r="E16" t="s">
        <v>67</v>
      </c>
      <c r="F16" t="s">
        <v>156</v>
      </c>
      <c r="G16" s="120">
        <v>4500</v>
      </c>
      <c r="H16" s="34">
        <v>45631</v>
      </c>
    </row>
    <row r="17" spans="1:8" x14ac:dyDescent="0.3">
      <c r="A17">
        <v>6</v>
      </c>
      <c r="B17" t="s">
        <v>167</v>
      </c>
      <c r="C17" t="s">
        <v>168</v>
      </c>
      <c r="D17" t="s">
        <v>169</v>
      </c>
      <c r="E17" t="s">
        <v>67</v>
      </c>
      <c r="F17" t="s">
        <v>151</v>
      </c>
      <c r="G17" s="120">
        <v>6400</v>
      </c>
      <c r="H17" s="34">
        <v>45614</v>
      </c>
    </row>
    <row r="18" spans="1:8" x14ac:dyDescent="0.3">
      <c r="A18">
        <v>5</v>
      </c>
      <c r="B18" t="s">
        <v>164</v>
      </c>
      <c r="C18" t="s">
        <v>165</v>
      </c>
      <c r="D18" t="s">
        <v>149</v>
      </c>
      <c r="E18" t="s">
        <v>150</v>
      </c>
      <c r="F18" t="s">
        <v>145</v>
      </c>
      <c r="G18" s="120">
        <v>16250</v>
      </c>
      <c r="H18" s="34">
        <v>45200</v>
      </c>
    </row>
    <row r="19" spans="1:8" x14ac:dyDescent="0.3">
      <c r="A19">
        <v>4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s="120">
        <v>10000</v>
      </c>
      <c r="H19" s="34">
        <v>45628</v>
      </c>
    </row>
    <row r="20" spans="1:8" x14ac:dyDescent="0.3">
      <c r="A20">
        <v>3</v>
      </c>
      <c r="B20" t="s">
        <v>153</v>
      </c>
      <c r="C20" t="s">
        <v>154</v>
      </c>
      <c r="D20" t="s">
        <v>155</v>
      </c>
      <c r="E20" t="s">
        <v>150</v>
      </c>
      <c r="F20" t="s">
        <v>156</v>
      </c>
      <c r="G20" s="120">
        <v>11250</v>
      </c>
      <c r="H20" s="34">
        <v>45634</v>
      </c>
    </row>
    <row r="21" spans="1:8" x14ac:dyDescent="0.3">
      <c r="A21">
        <v>2</v>
      </c>
      <c r="B21" t="s">
        <v>147</v>
      </c>
      <c r="C21" t="s">
        <v>148</v>
      </c>
      <c r="D21" t="s">
        <v>149</v>
      </c>
      <c r="E21" t="s">
        <v>161</v>
      </c>
      <c r="F21" t="s">
        <v>151</v>
      </c>
      <c r="G21" s="120">
        <v>8750</v>
      </c>
      <c r="H21" s="34">
        <v>45604</v>
      </c>
    </row>
    <row r="22" spans="1:8" x14ac:dyDescent="0.3">
      <c r="A22">
        <v>1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s="120">
        <v>30000</v>
      </c>
      <c r="H22" s="34">
        <v>44927</v>
      </c>
    </row>
    <row r="23" spans="1:8" x14ac:dyDescent="0.3">
      <c r="H23" s="34"/>
    </row>
    <row r="24" spans="1:8" x14ac:dyDescent="0.3">
      <c r="H24" s="34"/>
    </row>
    <row r="25" spans="1:8" x14ac:dyDescent="0.3">
      <c r="H25" s="34"/>
    </row>
    <row r="26" spans="1:8" x14ac:dyDescent="0.3">
      <c r="H26" s="34"/>
    </row>
    <row r="27" spans="1:8" x14ac:dyDescent="0.3">
      <c r="H27" s="34"/>
    </row>
    <row r="28" spans="1:8" x14ac:dyDescent="0.3">
      <c r="H28" s="34"/>
    </row>
    <row r="29" spans="1:8" x14ac:dyDescent="0.3">
      <c r="H29" s="34"/>
    </row>
  </sheetData>
  <autoFilter ref="A1:H22" xr:uid="{E8E97C14-45CC-47E8-9BD9-1350A9B1238F}"/>
  <sortState xmlns:xlrd2="http://schemas.microsoft.com/office/spreadsheetml/2017/richdata2" ref="A2:H22">
    <sortCondition descending="1" ref="A1:A22"/>
  </sortState>
  <mergeCells count="4">
    <mergeCell ref="N5:R7"/>
    <mergeCell ref="P11:R11"/>
    <mergeCell ref="P12:R12"/>
    <mergeCell ref="P13:R13"/>
  </mergeCells>
  <dataValidations count="1">
    <dataValidation type="list" allowBlank="1" showInputMessage="1" showErrorMessage="1" sqref="E2:E21" xr:uid="{D3E1341E-B732-4700-A5DB-0EBD3D1D85CC}">
      <formula1>"E,W,S,N"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BC04-C9EF-417A-9579-C71A2F73C711}">
  <sheetPr codeName="Sheet25"/>
  <dimension ref="A1:I48"/>
  <sheetViews>
    <sheetView zoomScale="65" workbookViewId="0">
      <selection activeCell="C3" sqref="C3:C23"/>
    </sheetView>
  </sheetViews>
  <sheetFormatPr defaultRowHeight="14.4" x14ac:dyDescent="0.3"/>
  <cols>
    <col min="2" max="2" width="27.44140625" customWidth="1"/>
    <col min="3" max="3" width="34.6640625" customWidth="1"/>
    <col min="4" max="4" width="33.77734375" customWidth="1"/>
    <col min="5" max="5" width="16.33203125" customWidth="1"/>
  </cols>
  <sheetData>
    <row r="1" spans="1:9" ht="28.8" x14ac:dyDescent="0.55000000000000004">
      <c r="A1" s="140" t="str">
        <f ca="1">_xlfn.FORMULATEXT(B3)</f>
        <v>=VLOOKUP(A3,USdata,MATCH(B$2,Header,0),FALSE)</v>
      </c>
      <c r="B1" s="140"/>
      <c r="C1" s="140"/>
      <c r="D1" s="140"/>
    </row>
    <row r="2" spans="1:9" x14ac:dyDescent="0.3">
      <c r="A2" s="31" t="s">
        <v>134</v>
      </c>
      <c r="B2" s="31" t="s">
        <v>576</v>
      </c>
      <c r="C2" s="31" t="s">
        <v>585</v>
      </c>
      <c r="D2" s="31" t="s">
        <v>578</v>
      </c>
      <c r="E2" s="31" t="s">
        <v>579</v>
      </c>
    </row>
    <row r="3" spans="1:9" s="19" customFormat="1" x14ac:dyDescent="0.3">
      <c r="A3" s="19">
        <v>1</v>
      </c>
      <c r="B3" s="19" t="str">
        <f t="shared" ref="B3:B23" si="0">VLOOKUP(A3,USdata,MATCH(B$2,Header,0),FALSE)</f>
        <v>JP Kumar</v>
      </c>
      <c r="C3"/>
      <c r="D3"/>
      <c r="E3"/>
    </row>
    <row r="4" spans="1:9" s="19" customFormat="1" x14ac:dyDescent="0.3">
      <c r="A4" s="19">
        <v>2</v>
      </c>
      <c r="B4" s="19" t="str">
        <f t="shared" si="0"/>
        <v>Anjali Thakur</v>
      </c>
      <c r="C4"/>
      <c r="D4"/>
      <c r="E4"/>
    </row>
    <row r="5" spans="1:9" s="19" customFormat="1" x14ac:dyDescent="0.3">
      <c r="A5" s="19">
        <v>3</v>
      </c>
      <c r="B5" s="19" t="str">
        <f t="shared" si="0"/>
        <v>Priya Agarwal</v>
      </c>
      <c r="C5"/>
      <c r="D5"/>
      <c r="E5"/>
    </row>
    <row r="6" spans="1:9" x14ac:dyDescent="0.3">
      <c r="A6">
        <v>4</v>
      </c>
      <c r="B6" s="19" t="str">
        <f t="shared" si="0"/>
        <v>R Vasu</v>
      </c>
    </row>
    <row r="7" spans="1:9" x14ac:dyDescent="0.3">
      <c r="A7">
        <v>5</v>
      </c>
      <c r="B7" s="19" t="str">
        <f t="shared" si="0"/>
        <v>Sanjay Gupta</v>
      </c>
      <c r="H7" t="s">
        <v>641</v>
      </c>
      <c r="I7">
        <f>MATCH(H7,Header,0)</f>
        <v>8</v>
      </c>
    </row>
    <row r="8" spans="1:9" x14ac:dyDescent="0.3">
      <c r="A8">
        <v>6</v>
      </c>
      <c r="B8" s="19" t="str">
        <f t="shared" si="0"/>
        <v>Jharna Biswal</v>
      </c>
    </row>
    <row r="9" spans="1:9" x14ac:dyDescent="0.3">
      <c r="A9">
        <v>7</v>
      </c>
      <c r="B9" s="19" t="str">
        <f t="shared" si="0"/>
        <v>Prakash Dutta</v>
      </c>
    </row>
    <row r="10" spans="1:9" x14ac:dyDescent="0.3">
      <c r="A10">
        <v>8</v>
      </c>
      <c r="B10" s="19" t="str">
        <f t="shared" si="0"/>
        <v>Manisha Guha</v>
      </c>
    </row>
    <row r="11" spans="1:9" x14ac:dyDescent="0.3">
      <c r="A11">
        <v>9</v>
      </c>
      <c r="B11" s="19" t="str">
        <f t="shared" si="0"/>
        <v>Arjun Jain</v>
      </c>
    </row>
    <row r="12" spans="1:9" x14ac:dyDescent="0.3">
      <c r="A12">
        <v>10</v>
      </c>
      <c r="B12" s="19" t="str">
        <f t="shared" si="0"/>
        <v>Arjun Kapoor</v>
      </c>
    </row>
    <row r="13" spans="1:9" x14ac:dyDescent="0.3">
      <c r="A13">
        <v>11</v>
      </c>
      <c r="B13" s="19" t="str">
        <f t="shared" si="0"/>
        <v>Abrar</v>
      </c>
    </row>
    <row r="14" spans="1:9" x14ac:dyDescent="0.3">
      <c r="A14">
        <v>12</v>
      </c>
      <c r="B14" s="19" t="str">
        <f t="shared" si="0"/>
        <v>Shahid Khan</v>
      </c>
    </row>
    <row r="15" spans="1:9" x14ac:dyDescent="0.3">
      <c r="A15">
        <v>13</v>
      </c>
      <c r="B15" s="19" t="str">
        <f t="shared" si="0"/>
        <v>Anupam Mishra</v>
      </c>
    </row>
    <row r="16" spans="1:9" x14ac:dyDescent="0.3">
      <c r="A16">
        <v>14</v>
      </c>
      <c r="B16" s="19" t="str">
        <f t="shared" si="0"/>
        <v>Ashwini</v>
      </c>
    </row>
    <row r="17" spans="1:5" x14ac:dyDescent="0.3">
      <c r="A17">
        <v>15</v>
      </c>
      <c r="B17" s="19" t="str">
        <f t="shared" si="0"/>
        <v>Prateek Babbar</v>
      </c>
    </row>
    <row r="18" spans="1:5" x14ac:dyDescent="0.3">
      <c r="A18">
        <v>16</v>
      </c>
      <c r="B18" s="19" t="str">
        <f t="shared" si="0"/>
        <v>Sukanya Reddy</v>
      </c>
    </row>
    <row r="19" spans="1:5" x14ac:dyDescent="0.3">
      <c r="A19">
        <v>17</v>
      </c>
      <c r="B19" s="19" t="str">
        <f t="shared" si="0"/>
        <v>Satish Puri</v>
      </c>
    </row>
    <row r="20" spans="1:5" x14ac:dyDescent="0.3">
      <c r="A20">
        <v>18</v>
      </c>
      <c r="B20" s="19" t="str">
        <f t="shared" si="0"/>
        <v>Anjum Chopra</v>
      </c>
    </row>
    <row r="21" spans="1:5" x14ac:dyDescent="0.3">
      <c r="A21">
        <v>19</v>
      </c>
      <c r="B21" s="19" t="str">
        <f t="shared" si="0"/>
        <v>Akram Khan</v>
      </c>
    </row>
    <row r="22" spans="1:5" x14ac:dyDescent="0.3">
      <c r="A22">
        <v>20</v>
      </c>
      <c r="B22" s="19" t="str">
        <f t="shared" si="0"/>
        <v>Manish Grover</v>
      </c>
    </row>
    <row r="23" spans="1:5" x14ac:dyDescent="0.3">
      <c r="A23">
        <v>21</v>
      </c>
      <c r="B23" s="19" t="str">
        <f t="shared" si="0"/>
        <v>Smith</v>
      </c>
    </row>
    <row r="27" spans="1:5" ht="72" x14ac:dyDescent="0.35">
      <c r="B27" s="117" t="str">
        <f ca="1">_xlfn.FORMULATEXT(B29)</f>
        <v>=IFERROR(VLOOKUP(A29,'SOURCE DATA'!A1:H21,2,FALSE),"Data Not found")</v>
      </c>
      <c r="C27" s="117"/>
      <c r="D27" s="117" t="str">
        <f ca="1">_xlfn.FORMULATEXT(D29)</f>
        <v>=VLOOKUP(A29,SData,5,FALSE)</v>
      </c>
    </row>
    <row r="28" spans="1:5" x14ac:dyDescent="0.3">
      <c r="A28" s="31" t="s">
        <v>134</v>
      </c>
      <c r="B28" s="31" t="s">
        <v>576</v>
      </c>
      <c r="C28" s="31" t="s">
        <v>585</v>
      </c>
      <c r="D28" s="31" t="s">
        <v>578</v>
      </c>
      <c r="E28" s="31" t="s">
        <v>579</v>
      </c>
    </row>
    <row r="29" spans="1:5" x14ac:dyDescent="0.3">
      <c r="A29">
        <v>1</v>
      </c>
      <c r="B29" t="str">
        <f>IFERROR(VLOOKUP(A29,'SOURCE DATA'!A1:H21,2,FALSE),"Data Not found")</f>
        <v>Data Not found</v>
      </c>
      <c r="C29" t="e">
        <f>VLOOKUP(Vlookup!A29,'SOURCE DATA'!A1:H21,4,FALSE)</f>
        <v>#N/A</v>
      </c>
      <c r="D29" t="e">
        <f t="shared" ref="D29:D47" si="1">VLOOKUP(A29,SData,5,FALSE)</f>
        <v>#N/A</v>
      </c>
      <c r="E29" t="e">
        <f t="shared" ref="E29:E47" si="2">VLOOKUP(A29,SData,6,FALSE)</f>
        <v>#N/A</v>
      </c>
    </row>
    <row r="30" spans="1:5" x14ac:dyDescent="0.3">
      <c r="A30">
        <v>19</v>
      </c>
      <c r="B30" t="str">
        <f>IFERROR(VLOOKUP(A30,'SOURCE DATA'!A2:H22,2,FALSE),"Data Not found")</f>
        <v>Akram Khan</v>
      </c>
      <c r="C30" t="str">
        <f>VLOOKUP(Vlookup!A30,'SOURCE DATA'!A2:H22,4,FALSE)</f>
        <v>Pune</v>
      </c>
      <c r="D30" t="str">
        <f t="shared" si="1"/>
        <v>W</v>
      </c>
      <c r="E30" t="str">
        <f t="shared" si="2"/>
        <v>Operation</v>
      </c>
    </row>
    <row r="31" spans="1:5" x14ac:dyDescent="0.3">
      <c r="A31">
        <v>20</v>
      </c>
      <c r="B31" t="str">
        <f>IFERROR(VLOOKUP(A31,'SOURCE DATA'!A3:H23,2,FALSE),"Data Not found")</f>
        <v>Manish Grover</v>
      </c>
      <c r="C31" t="str">
        <f>VLOOKUP(Vlookup!A31,'SOURCE DATA'!A3:H23,4,FALSE)</f>
        <v>Noida</v>
      </c>
      <c r="D31" t="str">
        <f t="shared" si="1"/>
        <v>N</v>
      </c>
      <c r="E31" t="str">
        <f t="shared" si="2"/>
        <v>Training</v>
      </c>
    </row>
    <row r="32" spans="1:5" x14ac:dyDescent="0.3">
      <c r="A32">
        <v>4</v>
      </c>
      <c r="B32" t="str">
        <f>IFERROR(VLOOKUP(A32,'SOURCE DATA'!A4:H24,2,FALSE),"Data Not found")</f>
        <v>R Vasu</v>
      </c>
      <c r="C32" t="str">
        <f>VLOOKUP(Vlookup!A32,'SOURCE DATA'!A4:H24,4,FALSE)</f>
        <v>Chennai</v>
      </c>
      <c r="D32" t="str">
        <f t="shared" si="1"/>
        <v>S</v>
      </c>
      <c r="E32" t="str">
        <f t="shared" si="2"/>
        <v>R&amp;D</v>
      </c>
    </row>
    <row r="33" spans="1:5" x14ac:dyDescent="0.3">
      <c r="A33">
        <v>5</v>
      </c>
      <c r="B33" t="str">
        <f>IFERROR(VLOOKUP(A33,'SOURCE DATA'!A5:H25,2,FALSE),"Data Not found")</f>
        <v>Sanjay Gupta</v>
      </c>
      <c r="C33" t="str">
        <f>VLOOKUP(Vlookup!A33,'SOURCE DATA'!A5:H25,4,FALSE)</f>
        <v>Delhi</v>
      </c>
      <c r="D33" t="str">
        <f t="shared" si="1"/>
        <v>N</v>
      </c>
      <c r="E33" t="str">
        <f t="shared" si="2"/>
        <v>Training</v>
      </c>
    </row>
    <row r="34" spans="1:5" x14ac:dyDescent="0.3">
      <c r="A34">
        <v>6</v>
      </c>
      <c r="B34" t="str">
        <f>IFERROR(VLOOKUP(A34,'SOURCE DATA'!A6:H26,2,FALSE),"Data Not found")</f>
        <v>Jharna Biswal</v>
      </c>
      <c r="C34" t="str">
        <f>VLOOKUP(Vlookup!A34,'SOURCE DATA'!A6:H26,4,FALSE)</f>
        <v>Cuttack</v>
      </c>
      <c r="D34" t="str">
        <f t="shared" si="1"/>
        <v>E</v>
      </c>
      <c r="E34" t="str">
        <f t="shared" si="2"/>
        <v>Accounts</v>
      </c>
    </row>
    <row r="35" spans="1:5" x14ac:dyDescent="0.3">
      <c r="A35">
        <v>7</v>
      </c>
      <c r="B35" t="str">
        <f>IFERROR(VLOOKUP(A35,'SOURCE DATA'!A7:H27,2,FALSE),"Data Not found")</f>
        <v>Prakash Dutta</v>
      </c>
      <c r="C35" t="str">
        <f>VLOOKUP(Vlookup!A35,'SOURCE DATA'!A7:H27,4,FALSE)</f>
        <v>Kolkata</v>
      </c>
      <c r="D35" t="str">
        <f t="shared" si="1"/>
        <v>E</v>
      </c>
      <c r="E35" t="str">
        <f t="shared" si="2"/>
        <v>Marketing</v>
      </c>
    </row>
    <row r="36" spans="1:5" x14ac:dyDescent="0.3">
      <c r="A36">
        <v>8</v>
      </c>
      <c r="B36" t="str">
        <f>IFERROR(VLOOKUP(A36,'SOURCE DATA'!A8:H28,2,FALSE),"Data Not found")</f>
        <v>Manisha Guha</v>
      </c>
      <c r="C36" t="str">
        <f>VLOOKUP(Vlookup!A36,'SOURCE DATA'!A8:H28,4,FALSE)</f>
        <v>banglore</v>
      </c>
      <c r="D36" t="str">
        <f t="shared" si="1"/>
        <v>E</v>
      </c>
      <c r="E36" t="str">
        <f t="shared" si="2"/>
        <v>R&amp;D</v>
      </c>
    </row>
    <row r="37" spans="1:5" x14ac:dyDescent="0.3">
      <c r="A37">
        <v>9</v>
      </c>
      <c r="B37" t="str">
        <f>IFERROR(VLOOKUP(A37,'SOURCE DATA'!A9:H29,2,FALSE),"Data Not found")</f>
        <v>Arjun Jain</v>
      </c>
      <c r="C37" t="str">
        <f>VLOOKUP(Vlookup!A37,'SOURCE DATA'!A9:H29,4,FALSE)</f>
        <v>Mumbai</v>
      </c>
      <c r="D37" t="str">
        <f t="shared" si="1"/>
        <v>W</v>
      </c>
      <c r="E37" t="str">
        <f t="shared" si="2"/>
        <v>Training</v>
      </c>
    </row>
    <row r="38" spans="1:5" x14ac:dyDescent="0.3">
      <c r="A38">
        <v>20</v>
      </c>
      <c r="B38" t="str">
        <f>IFERROR(VLOOKUP(A38,'SOURCE DATA'!A10:H30,2,FALSE),"Data Not found")</f>
        <v>Data Not found</v>
      </c>
      <c r="C38" t="e">
        <f>VLOOKUP(Vlookup!A38,'SOURCE DATA'!A10:H30,4,FALSE)</f>
        <v>#N/A</v>
      </c>
      <c r="D38" t="str">
        <f t="shared" si="1"/>
        <v>N</v>
      </c>
      <c r="E38" t="str">
        <f t="shared" si="2"/>
        <v>Training</v>
      </c>
    </row>
    <row r="39" spans="1:5" x14ac:dyDescent="0.3">
      <c r="A39">
        <v>11</v>
      </c>
      <c r="B39" t="str">
        <f>IFERROR(VLOOKUP(A39,'SOURCE DATA'!A11:H31,2,FALSE),"Data Not found")</f>
        <v>Abrar</v>
      </c>
      <c r="C39" t="str">
        <f>VLOOKUP(Vlookup!A39,'SOURCE DATA'!A11:H31,4,FALSE)</f>
        <v>Bangalore</v>
      </c>
      <c r="D39" t="str">
        <f t="shared" si="1"/>
        <v>S</v>
      </c>
      <c r="E39" t="str">
        <f t="shared" si="2"/>
        <v>Marketing</v>
      </c>
    </row>
    <row r="40" spans="1:5" x14ac:dyDescent="0.3">
      <c r="A40">
        <v>12</v>
      </c>
      <c r="B40" t="str">
        <f>IFERROR(VLOOKUP(A40,'SOURCE DATA'!A12:H32,2,FALSE),"Data Not found")</f>
        <v>Data Not found</v>
      </c>
      <c r="C40" t="e">
        <f>VLOOKUP(Vlookup!A40,'SOURCE DATA'!A12:H32,4,FALSE)</f>
        <v>#N/A</v>
      </c>
      <c r="D40" t="str">
        <f t="shared" si="1"/>
        <v>S</v>
      </c>
      <c r="E40" t="str">
        <f t="shared" si="2"/>
        <v>R&amp;D</v>
      </c>
    </row>
    <row r="41" spans="1:5" x14ac:dyDescent="0.3">
      <c r="A41">
        <v>22</v>
      </c>
      <c r="B41" t="str">
        <f>IFERROR(VLOOKUP(A41,'SOURCE DATA'!A13:H33,2,FALSE),"Data Not found")</f>
        <v>Data Not found</v>
      </c>
      <c r="C41" t="e">
        <f>VLOOKUP(Vlookup!A41,'SOURCE DATA'!A13:H33,4,FALSE)</f>
        <v>#N/A</v>
      </c>
      <c r="D41" t="e">
        <f t="shared" si="1"/>
        <v>#N/A</v>
      </c>
      <c r="E41" t="e">
        <f t="shared" si="2"/>
        <v>#N/A</v>
      </c>
    </row>
    <row r="42" spans="1:5" x14ac:dyDescent="0.3">
      <c r="A42">
        <v>14</v>
      </c>
      <c r="B42" t="str">
        <f>IFERROR(VLOOKUP(A42,'SOURCE DATA'!A14:H34,2,FALSE),"Data Not found")</f>
        <v>Data Not found</v>
      </c>
      <c r="C42" t="e">
        <f>VLOOKUP(Vlookup!A42,'SOURCE DATA'!A14:H34,4,FALSE)</f>
        <v>#N/A</v>
      </c>
      <c r="D42" t="str">
        <f t="shared" si="1"/>
        <v>S</v>
      </c>
      <c r="E42" t="str">
        <f t="shared" si="2"/>
        <v>Accounts</v>
      </c>
    </row>
    <row r="43" spans="1:5" x14ac:dyDescent="0.3">
      <c r="A43">
        <v>15</v>
      </c>
      <c r="B43" t="str">
        <f>IFERROR(VLOOKUP(A43,'SOURCE DATA'!A15:H35,2,FALSE),"Data Not found")</f>
        <v>Data Not found</v>
      </c>
      <c r="C43" t="e">
        <f>VLOOKUP(Vlookup!A43,'SOURCE DATA'!A15:H35,4,FALSE)</f>
        <v>#N/A</v>
      </c>
      <c r="D43" t="str">
        <f t="shared" si="1"/>
        <v>N</v>
      </c>
      <c r="E43" t="str">
        <f t="shared" si="2"/>
        <v>Marketing</v>
      </c>
    </row>
    <row r="44" spans="1:5" x14ac:dyDescent="0.3">
      <c r="A44">
        <v>16</v>
      </c>
      <c r="B44" t="str">
        <f>IFERROR(VLOOKUP(A44,'SOURCE DATA'!A16:H36,2,FALSE),"Data Not found")</f>
        <v>Data Not found</v>
      </c>
      <c r="C44" t="e">
        <f>VLOOKUP(Vlookup!A44,'SOURCE DATA'!A16:H36,4,FALSE)</f>
        <v>#N/A</v>
      </c>
      <c r="D44" t="str">
        <f t="shared" si="1"/>
        <v>S</v>
      </c>
      <c r="E44" t="str">
        <f t="shared" si="2"/>
        <v>R&amp;D</v>
      </c>
    </row>
    <row r="45" spans="1:5" x14ac:dyDescent="0.3">
      <c r="A45">
        <v>17</v>
      </c>
      <c r="B45" t="str">
        <f>IFERROR(VLOOKUP(A45,'SOURCE DATA'!A17:H37,2,FALSE),"Data Not found")</f>
        <v>Data Not found</v>
      </c>
      <c r="C45" t="e">
        <f>VLOOKUP(Vlookup!A45,'SOURCE DATA'!A17:H37,4,FALSE)</f>
        <v>#N/A</v>
      </c>
      <c r="D45" t="str">
        <f t="shared" si="1"/>
        <v>W</v>
      </c>
      <c r="E45" t="str">
        <f t="shared" si="2"/>
        <v>Operation</v>
      </c>
    </row>
    <row r="46" spans="1:5" x14ac:dyDescent="0.3">
      <c r="A46">
        <v>18</v>
      </c>
      <c r="B46" t="str">
        <f>IFERROR(VLOOKUP(A46,'SOURCE DATA'!A18:H38,2,FALSE),"Data Not found")</f>
        <v>Data Not found</v>
      </c>
      <c r="C46" t="e">
        <f>VLOOKUP(Vlookup!A46,'SOURCE DATA'!A18:H38,4,FALSE)</f>
        <v>#N/A</v>
      </c>
      <c r="D46" t="str">
        <f t="shared" si="1"/>
        <v>W</v>
      </c>
      <c r="E46" t="str">
        <f t="shared" si="2"/>
        <v>R&amp;D</v>
      </c>
    </row>
    <row r="47" spans="1:5" x14ac:dyDescent="0.3">
      <c r="A47">
        <v>19</v>
      </c>
      <c r="B47" t="str">
        <f>IFERROR(VLOOKUP(A47,'SOURCE DATA'!A19:H39,2,FALSE),"Data Not found")</f>
        <v>Data Not found</v>
      </c>
      <c r="C47" t="e">
        <f>VLOOKUP(Vlookup!A47,'SOURCE DATA'!A19:H39,4,FALSE)</f>
        <v>#N/A</v>
      </c>
      <c r="D47" t="str">
        <f t="shared" si="1"/>
        <v>W</v>
      </c>
      <c r="E47" t="str">
        <f t="shared" si="2"/>
        <v>Operation</v>
      </c>
    </row>
    <row r="48" spans="1:5" x14ac:dyDescent="0.3">
      <c r="A48">
        <v>10</v>
      </c>
    </row>
  </sheetData>
  <sortState xmlns:xlrd2="http://schemas.microsoft.com/office/spreadsheetml/2017/richdata2" ref="A6:B23">
    <sortCondition ref="A3:A23"/>
  </sortState>
  <mergeCells count="1">
    <mergeCell ref="A1:D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E5C3-551B-4525-ABCB-F8998141B706}">
  <sheetPr codeName="Sheet26"/>
  <dimension ref="A1:R23"/>
  <sheetViews>
    <sheetView zoomScale="174" workbookViewId="0">
      <selection activeCell="N6" sqref="N6"/>
    </sheetView>
  </sheetViews>
  <sheetFormatPr defaultRowHeight="14.4" x14ac:dyDescent="0.3"/>
  <cols>
    <col min="10" max="10" width="16.6640625" customWidth="1"/>
    <col min="11" max="11" width="21.6640625" customWidth="1"/>
    <col min="13" max="13" width="26.44140625" customWidth="1"/>
    <col min="14" max="14" width="33.6640625" customWidth="1"/>
  </cols>
  <sheetData>
    <row r="1" spans="1:18" x14ac:dyDescent="0.3">
      <c r="A1" s="37" t="s">
        <v>134</v>
      </c>
      <c r="B1" s="37" t="s">
        <v>576</v>
      </c>
      <c r="F1" s="37" t="s">
        <v>576</v>
      </c>
      <c r="G1" s="37" t="s">
        <v>580</v>
      </c>
      <c r="J1" s="17" t="s">
        <v>589</v>
      </c>
      <c r="K1" s="17" t="s">
        <v>580</v>
      </c>
    </row>
    <row r="2" spans="1:18" x14ac:dyDescent="0.3">
      <c r="A2" s="7">
        <v>1</v>
      </c>
      <c r="B2" s="7" t="s">
        <v>141</v>
      </c>
      <c r="F2" s="7" t="s">
        <v>141</v>
      </c>
      <c r="G2" s="7">
        <v>30000</v>
      </c>
      <c r="J2" s="7">
        <v>1</v>
      </c>
      <c r="K2">
        <f t="shared" ref="K2:K16" si="0">VLOOKUP(VLOOKUP($J2,FirstTable,MATCH(B$1,Headcer1,0)),SecondTable,MATCH(K$1,Header2,0),FALSE)</f>
        <v>30000</v>
      </c>
    </row>
    <row r="3" spans="1:18" x14ac:dyDescent="0.3">
      <c r="A3" s="7">
        <v>2</v>
      </c>
      <c r="B3" s="7" t="s">
        <v>147</v>
      </c>
      <c r="F3" s="7" t="s">
        <v>147</v>
      </c>
      <c r="G3" s="7">
        <v>8750</v>
      </c>
      <c r="J3" s="7">
        <v>2</v>
      </c>
      <c r="K3">
        <f t="shared" si="0"/>
        <v>8750</v>
      </c>
      <c r="M3" s="139" t="str">
        <f ca="1">_xlfn.FORMULATEXT(K2)</f>
        <v>=VLOOKUP(VLOOKUP($J2,FirstTable,MATCH(B$1,Headcer1,0)),SecondTable,MATCH(K$1,Header2,0),FALSE)</v>
      </c>
      <c r="N3" s="139"/>
      <c r="O3" s="139"/>
      <c r="P3" s="139"/>
      <c r="Q3" s="139"/>
      <c r="R3" s="139"/>
    </row>
    <row r="4" spans="1:18" x14ac:dyDescent="0.3">
      <c r="A4" s="7">
        <v>3</v>
      </c>
      <c r="B4" s="7" t="s">
        <v>153</v>
      </c>
      <c r="F4" s="7" t="s">
        <v>153</v>
      </c>
      <c r="G4" s="7">
        <v>11250</v>
      </c>
      <c r="J4" s="7">
        <v>3</v>
      </c>
      <c r="K4">
        <f t="shared" si="0"/>
        <v>11250</v>
      </c>
    </row>
    <row r="5" spans="1:18" x14ac:dyDescent="0.3">
      <c r="A5" s="7">
        <v>4</v>
      </c>
      <c r="B5" s="7" t="s">
        <v>158</v>
      </c>
      <c r="F5" s="7" t="s">
        <v>158</v>
      </c>
      <c r="G5" s="7">
        <v>10000</v>
      </c>
      <c r="J5" s="7">
        <v>4</v>
      </c>
      <c r="K5">
        <f t="shared" si="0"/>
        <v>10000</v>
      </c>
    </row>
    <row r="6" spans="1:18" x14ac:dyDescent="0.3">
      <c r="A6" s="7">
        <v>5</v>
      </c>
      <c r="B6" s="7" t="s">
        <v>164</v>
      </c>
      <c r="F6" s="7" t="s">
        <v>164</v>
      </c>
      <c r="G6" s="7">
        <v>16250</v>
      </c>
      <c r="J6" s="7">
        <v>5</v>
      </c>
      <c r="K6">
        <f t="shared" si="0"/>
        <v>16250</v>
      </c>
    </row>
    <row r="7" spans="1:18" x14ac:dyDescent="0.3">
      <c r="A7" s="7">
        <v>6</v>
      </c>
      <c r="B7" s="7" t="s">
        <v>167</v>
      </c>
      <c r="F7" s="7" t="s">
        <v>167</v>
      </c>
      <c r="G7" s="7">
        <v>6400</v>
      </c>
      <c r="J7" s="7">
        <v>6</v>
      </c>
      <c r="K7">
        <f t="shared" si="0"/>
        <v>6400</v>
      </c>
    </row>
    <row r="8" spans="1:18" x14ac:dyDescent="0.3">
      <c r="A8" s="7">
        <v>7</v>
      </c>
      <c r="B8" s="7" t="s">
        <v>171</v>
      </c>
      <c r="F8" s="7" t="s">
        <v>171</v>
      </c>
      <c r="G8" s="7">
        <v>4500</v>
      </c>
      <c r="J8" s="7">
        <v>7</v>
      </c>
      <c r="K8">
        <f t="shared" si="0"/>
        <v>4500</v>
      </c>
    </row>
    <row r="9" spans="1:18" x14ac:dyDescent="0.3">
      <c r="A9" s="7">
        <v>8</v>
      </c>
      <c r="B9" s="7" t="s">
        <v>175</v>
      </c>
      <c r="F9" s="7" t="s">
        <v>175</v>
      </c>
      <c r="G9" s="7">
        <v>6275</v>
      </c>
      <c r="J9" s="7">
        <v>8</v>
      </c>
      <c r="K9">
        <f t="shared" si="0"/>
        <v>6275</v>
      </c>
    </row>
    <row r="10" spans="1:18" x14ac:dyDescent="0.3">
      <c r="A10" s="7">
        <v>9</v>
      </c>
      <c r="B10" s="7" t="s">
        <v>178</v>
      </c>
      <c r="F10" s="7" t="s">
        <v>178</v>
      </c>
      <c r="G10" s="7">
        <v>6250</v>
      </c>
      <c r="J10" s="7">
        <v>9</v>
      </c>
      <c r="K10">
        <f t="shared" si="0"/>
        <v>6250</v>
      </c>
    </row>
    <row r="11" spans="1:18" x14ac:dyDescent="0.3">
      <c r="A11" s="7">
        <v>10</v>
      </c>
      <c r="B11" s="7" t="s">
        <v>180</v>
      </c>
      <c r="F11" s="7" t="s">
        <v>180</v>
      </c>
      <c r="G11" s="7">
        <v>8750</v>
      </c>
      <c r="J11" s="7">
        <v>10</v>
      </c>
      <c r="K11">
        <f t="shared" si="0"/>
        <v>8750</v>
      </c>
    </row>
    <row r="12" spans="1:18" x14ac:dyDescent="0.3">
      <c r="A12" s="7">
        <v>11</v>
      </c>
      <c r="B12" s="7" t="s">
        <v>184</v>
      </c>
      <c r="F12" s="7" t="s">
        <v>184</v>
      </c>
      <c r="G12" s="7">
        <v>11250</v>
      </c>
      <c r="J12" s="7">
        <v>11</v>
      </c>
      <c r="K12">
        <f t="shared" si="0"/>
        <v>11250</v>
      </c>
    </row>
    <row r="13" spans="1:18" x14ac:dyDescent="0.3">
      <c r="A13" s="7">
        <v>12</v>
      </c>
      <c r="B13" s="7" t="s">
        <v>187</v>
      </c>
      <c r="F13" s="7" t="s">
        <v>187</v>
      </c>
      <c r="G13" s="7">
        <v>10000</v>
      </c>
      <c r="J13" s="7">
        <v>12</v>
      </c>
      <c r="K13">
        <f t="shared" si="0"/>
        <v>10000</v>
      </c>
    </row>
    <row r="14" spans="1:18" x14ac:dyDescent="0.3">
      <c r="A14" s="7">
        <v>13</v>
      </c>
      <c r="B14" s="7" t="s">
        <v>190</v>
      </c>
      <c r="F14" s="7" t="s">
        <v>190</v>
      </c>
      <c r="G14" s="7">
        <v>16250</v>
      </c>
      <c r="J14" s="7">
        <v>13</v>
      </c>
      <c r="K14">
        <f t="shared" si="0"/>
        <v>16250</v>
      </c>
    </row>
    <row r="15" spans="1:18" x14ac:dyDescent="0.3">
      <c r="A15" s="7">
        <v>14</v>
      </c>
      <c r="B15" s="7" t="s">
        <v>193</v>
      </c>
      <c r="F15" s="7" t="s">
        <v>193</v>
      </c>
      <c r="G15" s="7">
        <v>6400</v>
      </c>
      <c r="J15" s="7">
        <v>14</v>
      </c>
      <c r="K15">
        <f t="shared" si="0"/>
        <v>6400</v>
      </c>
    </row>
    <row r="16" spans="1:18" x14ac:dyDescent="0.3">
      <c r="A16" s="7">
        <v>15</v>
      </c>
      <c r="B16" s="7" t="s">
        <v>195</v>
      </c>
      <c r="F16" s="7" t="s">
        <v>195</v>
      </c>
      <c r="G16" s="7">
        <v>24000</v>
      </c>
      <c r="J16" s="7">
        <v>15</v>
      </c>
      <c r="K16">
        <f t="shared" si="0"/>
        <v>24000</v>
      </c>
    </row>
    <row r="19" spans="11:17" ht="21" x14ac:dyDescent="0.4">
      <c r="K19" s="141" t="e">
        <f ca="1">_xlfn.FORMULATEXT(#REF!)</f>
        <v>#REF!</v>
      </c>
      <c r="L19" s="141"/>
      <c r="M19" s="141"/>
      <c r="N19" s="141"/>
    </row>
    <row r="23" spans="11:17" x14ac:dyDescent="0.3">
      <c r="N23" s="139" t="str">
        <f ca="1">_xlfn.FORMULATEXT(K2)</f>
        <v>=VLOOKUP(VLOOKUP($J2,FirstTable,MATCH(B$1,Headcer1,0)),SecondTable,MATCH(K$1,Header2,0),FALSE)</v>
      </c>
      <c r="O23" s="139"/>
      <c r="P23" s="139"/>
      <c r="Q23" s="139"/>
    </row>
  </sheetData>
  <mergeCells count="3">
    <mergeCell ref="K19:N19"/>
    <mergeCell ref="N23:Q23"/>
    <mergeCell ref="M3:R3"/>
  </mergeCells>
  <dataValidations count="1">
    <dataValidation type="list" allowBlank="1" showInputMessage="1" showErrorMessage="1" sqref="E2:E16" xr:uid="{C1976DE3-5E7D-4857-8C4B-3E76BA9F93D3}">
      <formula1>"E,W,S,N"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50B6-3F38-4581-AC7A-7C6B0E64311F}">
  <sheetPr codeName="Sheet27"/>
  <dimension ref="A1:T20"/>
  <sheetViews>
    <sheetView workbookViewId="0">
      <selection activeCell="I15" sqref="I15"/>
    </sheetView>
  </sheetViews>
  <sheetFormatPr defaultRowHeight="14.4" x14ac:dyDescent="0.3"/>
  <cols>
    <col min="1" max="1" width="18.88671875" customWidth="1"/>
    <col min="2" max="2" width="18.21875" customWidth="1"/>
  </cols>
  <sheetData>
    <row r="1" spans="1:20" x14ac:dyDescent="0.3">
      <c r="A1" s="31" t="s">
        <v>589</v>
      </c>
      <c r="B1" s="31" t="s">
        <v>590</v>
      </c>
    </row>
    <row r="2" spans="1:20" x14ac:dyDescent="0.3">
      <c r="A2">
        <v>10</v>
      </c>
      <c r="B2">
        <f t="shared" ref="B2:B20" si="0">IFERROR(VLOOKUP(A2,USdata,MATCH("*"&amp;B$1,Header,0),FALSE),0)</f>
        <v>8750</v>
      </c>
    </row>
    <row r="3" spans="1:20" x14ac:dyDescent="0.3">
      <c r="A3">
        <v>19</v>
      </c>
      <c r="B3">
        <f t="shared" si="0"/>
        <v>11250</v>
      </c>
    </row>
    <row r="4" spans="1:20" x14ac:dyDescent="0.3">
      <c r="A4">
        <v>20</v>
      </c>
      <c r="B4">
        <f t="shared" si="0"/>
        <v>20000</v>
      </c>
    </row>
    <row r="5" spans="1:20" x14ac:dyDescent="0.3">
      <c r="A5">
        <v>4</v>
      </c>
      <c r="B5">
        <f t="shared" si="0"/>
        <v>10000</v>
      </c>
    </row>
    <row r="6" spans="1:20" x14ac:dyDescent="0.3">
      <c r="A6">
        <v>5</v>
      </c>
      <c r="B6">
        <f t="shared" si="0"/>
        <v>16250</v>
      </c>
    </row>
    <row r="7" spans="1:20" x14ac:dyDescent="0.3">
      <c r="A7">
        <v>6</v>
      </c>
      <c r="B7">
        <f t="shared" si="0"/>
        <v>6400</v>
      </c>
    </row>
    <row r="8" spans="1:20" x14ac:dyDescent="0.3">
      <c r="A8">
        <v>7</v>
      </c>
      <c r="B8">
        <f t="shared" si="0"/>
        <v>4500</v>
      </c>
    </row>
    <row r="9" spans="1:20" x14ac:dyDescent="0.3">
      <c r="A9">
        <v>8</v>
      </c>
      <c r="B9">
        <f t="shared" si="0"/>
        <v>6275</v>
      </c>
    </row>
    <row r="10" spans="1:20" x14ac:dyDescent="0.3">
      <c r="A10">
        <v>9</v>
      </c>
      <c r="B10">
        <f t="shared" si="0"/>
        <v>6250</v>
      </c>
    </row>
    <row r="11" spans="1:20" ht="31.2" x14ac:dyDescent="0.6">
      <c r="A11">
        <v>20</v>
      </c>
      <c r="B11">
        <f t="shared" si="0"/>
        <v>20000</v>
      </c>
      <c r="E11" s="142" t="str">
        <f ca="1">_xlfn.FORMULATEXT(B2)</f>
        <v>=IFERROR(VLOOKUP(A2,USdata,MATCH("*"&amp;B$1,Header,0),FALSE),0)</v>
      </c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</row>
    <row r="12" spans="1:20" x14ac:dyDescent="0.3">
      <c r="A12">
        <v>11</v>
      </c>
      <c r="B12">
        <f t="shared" si="0"/>
        <v>11250</v>
      </c>
    </row>
    <row r="13" spans="1:20" x14ac:dyDescent="0.3">
      <c r="A13">
        <v>12</v>
      </c>
      <c r="B13">
        <f t="shared" si="0"/>
        <v>10000</v>
      </c>
    </row>
    <row r="14" spans="1:20" x14ac:dyDescent="0.3">
      <c r="A14">
        <v>22</v>
      </c>
      <c r="B14">
        <f t="shared" si="0"/>
        <v>0</v>
      </c>
    </row>
    <row r="15" spans="1:20" x14ac:dyDescent="0.3">
      <c r="A15">
        <v>14</v>
      </c>
      <c r="B15">
        <f t="shared" si="0"/>
        <v>6400</v>
      </c>
    </row>
    <row r="16" spans="1:20" x14ac:dyDescent="0.3">
      <c r="A16">
        <v>15</v>
      </c>
      <c r="B16">
        <f t="shared" si="0"/>
        <v>24000</v>
      </c>
    </row>
    <row r="17" spans="1:2" x14ac:dyDescent="0.3">
      <c r="A17">
        <v>16</v>
      </c>
      <c r="B17">
        <f t="shared" si="0"/>
        <v>6275</v>
      </c>
    </row>
    <row r="18" spans="1:2" x14ac:dyDescent="0.3">
      <c r="A18">
        <v>17</v>
      </c>
      <c r="B18">
        <f t="shared" si="0"/>
        <v>6250</v>
      </c>
    </row>
    <row r="19" spans="1:2" x14ac:dyDescent="0.3">
      <c r="A19">
        <v>18</v>
      </c>
      <c r="B19">
        <f t="shared" si="0"/>
        <v>8750</v>
      </c>
    </row>
    <row r="20" spans="1:2" x14ac:dyDescent="0.3">
      <c r="A20">
        <v>19</v>
      </c>
      <c r="B20">
        <f t="shared" si="0"/>
        <v>11250</v>
      </c>
    </row>
  </sheetData>
  <mergeCells count="1">
    <mergeCell ref="E11:T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C403A-B541-4812-AD10-5EA7F9CC783B}">
  <sheetPr codeName="Sheet28"/>
  <dimension ref="A1:AC23"/>
  <sheetViews>
    <sheetView topLeftCell="N1" zoomScale="102" workbookViewId="0">
      <selection activeCell="N19" sqref="N19:AC23"/>
    </sheetView>
  </sheetViews>
  <sheetFormatPr defaultRowHeight="14.4" x14ac:dyDescent="0.3"/>
  <cols>
    <col min="13" max="13" width="23.33203125" customWidth="1"/>
    <col min="14" max="14" width="35.88671875" customWidth="1"/>
    <col min="15" max="15" width="24.33203125" customWidth="1"/>
  </cols>
  <sheetData>
    <row r="1" spans="1:15" x14ac:dyDescent="0.3">
      <c r="A1" s="31" t="s">
        <v>134</v>
      </c>
      <c r="B1" s="31" t="s">
        <v>576</v>
      </c>
      <c r="C1" s="31" t="s">
        <v>577</v>
      </c>
      <c r="D1" s="31" t="s">
        <v>585</v>
      </c>
      <c r="E1" s="31" t="s">
        <v>578</v>
      </c>
      <c r="F1" s="31" t="s">
        <v>579</v>
      </c>
      <c r="G1" s="31" t="s">
        <v>586</v>
      </c>
      <c r="H1" s="31" t="s">
        <v>581</v>
      </c>
    </row>
    <row r="2" spans="1:15" x14ac:dyDescent="0.3">
      <c r="A2">
        <v>1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>
        <v>30000</v>
      </c>
      <c r="H2">
        <v>44927</v>
      </c>
      <c r="M2" s="53" t="s">
        <v>311</v>
      </c>
      <c r="N2" s="53" t="s">
        <v>591</v>
      </c>
    </row>
    <row r="3" spans="1:15" x14ac:dyDescent="0.3">
      <c r="A3">
        <v>2</v>
      </c>
      <c r="B3" t="s">
        <v>147</v>
      </c>
      <c r="C3" t="s">
        <v>148</v>
      </c>
      <c r="D3" t="s">
        <v>149</v>
      </c>
      <c r="E3" t="s">
        <v>161</v>
      </c>
      <c r="F3" t="s">
        <v>151</v>
      </c>
      <c r="G3">
        <v>8750</v>
      </c>
      <c r="H3">
        <v>45604</v>
      </c>
      <c r="M3">
        <v>2</v>
      </c>
      <c r="N3">
        <f>IF(ISNUMBER(M3),VLOOKUP(M3,A1:H21,7,FALSE),VLOOKUP(M3,B1:H21,6,FALSE))</f>
        <v>8750</v>
      </c>
      <c r="O3">
        <f t="shared" ref="O3:O12" si="0">IF(ISNUMBER(M3),VLOOKUP(M3,EmpCodeArray,MATCH($N$2,EmpCodeHeader,0),FALSE),VLOOKUP(M3,NametableArray,MATCH($N$2,NametableHeader,0),FALSE))</f>
        <v>8750</v>
      </c>
    </row>
    <row r="4" spans="1:15" x14ac:dyDescent="0.3">
      <c r="A4">
        <v>3</v>
      </c>
      <c r="B4" t="s">
        <v>153</v>
      </c>
      <c r="C4" t="s">
        <v>154</v>
      </c>
      <c r="D4" t="s">
        <v>155</v>
      </c>
      <c r="E4" t="s">
        <v>150</v>
      </c>
      <c r="F4" t="s">
        <v>156</v>
      </c>
      <c r="G4">
        <v>11250</v>
      </c>
      <c r="H4">
        <v>45634</v>
      </c>
      <c r="M4" t="s">
        <v>153</v>
      </c>
      <c r="N4">
        <f t="shared" ref="N4:N12" si="1">IF(ISNUMBER(M4),VLOOKUP(M4,A2:H22,7,FALSE),VLOOKUP(M4,B2:H22,6,FALSE))</f>
        <v>11250</v>
      </c>
      <c r="O4">
        <f t="shared" si="0"/>
        <v>11250</v>
      </c>
    </row>
    <row r="5" spans="1:15" x14ac:dyDescent="0.3">
      <c r="A5">
        <v>4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>
        <v>10000</v>
      </c>
      <c r="H5">
        <v>45628</v>
      </c>
      <c r="M5">
        <v>5</v>
      </c>
      <c r="N5">
        <f t="shared" si="1"/>
        <v>16250</v>
      </c>
      <c r="O5">
        <f t="shared" si="0"/>
        <v>16250</v>
      </c>
    </row>
    <row r="6" spans="1:15" x14ac:dyDescent="0.3">
      <c r="A6">
        <v>5</v>
      </c>
      <c r="B6" t="s">
        <v>164</v>
      </c>
      <c r="C6" t="s">
        <v>165</v>
      </c>
      <c r="D6" t="s">
        <v>149</v>
      </c>
      <c r="E6" t="s">
        <v>150</v>
      </c>
      <c r="F6" t="s">
        <v>145</v>
      </c>
      <c r="G6">
        <v>16250</v>
      </c>
      <c r="H6">
        <v>45200</v>
      </c>
      <c r="M6" t="s">
        <v>158</v>
      </c>
      <c r="N6">
        <f t="shared" si="1"/>
        <v>10000</v>
      </c>
      <c r="O6">
        <f t="shared" si="0"/>
        <v>10000</v>
      </c>
    </row>
    <row r="7" spans="1:15" x14ac:dyDescent="0.3">
      <c r="A7">
        <v>6</v>
      </c>
      <c r="B7" t="s">
        <v>167</v>
      </c>
      <c r="C7" t="s">
        <v>168</v>
      </c>
      <c r="D7" t="s">
        <v>169</v>
      </c>
      <c r="E7" t="s">
        <v>67</v>
      </c>
      <c r="F7" t="s">
        <v>151</v>
      </c>
      <c r="G7">
        <v>6400</v>
      </c>
      <c r="H7">
        <v>45614</v>
      </c>
      <c r="M7">
        <v>14</v>
      </c>
      <c r="N7">
        <f t="shared" si="1"/>
        <v>6400</v>
      </c>
      <c r="O7">
        <f t="shared" si="0"/>
        <v>6400</v>
      </c>
    </row>
    <row r="8" spans="1:15" x14ac:dyDescent="0.3">
      <c r="A8">
        <v>7</v>
      </c>
      <c r="B8" t="s">
        <v>171</v>
      </c>
      <c r="C8" t="s">
        <v>172</v>
      </c>
      <c r="D8" t="s">
        <v>173</v>
      </c>
      <c r="E8" t="s">
        <v>67</v>
      </c>
      <c r="F8" t="s">
        <v>156</v>
      </c>
      <c r="G8">
        <v>4500</v>
      </c>
      <c r="H8">
        <v>45631</v>
      </c>
      <c r="M8" t="s">
        <v>171</v>
      </c>
      <c r="N8">
        <f t="shared" si="1"/>
        <v>4500</v>
      </c>
      <c r="O8">
        <f t="shared" si="0"/>
        <v>4500</v>
      </c>
    </row>
    <row r="9" spans="1:15" x14ac:dyDescent="0.3">
      <c r="A9">
        <v>8</v>
      </c>
      <c r="B9" t="s">
        <v>175</v>
      </c>
      <c r="C9" t="s">
        <v>176</v>
      </c>
      <c r="D9" t="s">
        <v>587</v>
      </c>
      <c r="E9" t="s">
        <v>67</v>
      </c>
      <c r="F9" t="s">
        <v>162</v>
      </c>
      <c r="G9">
        <v>6275</v>
      </c>
      <c r="H9">
        <v>45601</v>
      </c>
      <c r="M9">
        <v>17</v>
      </c>
      <c r="N9">
        <f t="shared" si="1"/>
        <v>6250</v>
      </c>
      <c r="O9">
        <f t="shared" si="0"/>
        <v>6250</v>
      </c>
    </row>
    <row r="10" spans="1:15" x14ac:dyDescent="0.3">
      <c r="A10">
        <v>9</v>
      </c>
      <c r="B10" t="s">
        <v>178</v>
      </c>
      <c r="C10" t="s">
        <v>179</v>
      </c>
      <c r="D10" t="s">
        <v>143</v>
      </c>
      <c r="E10" t="s">
        <v>144</v>
      </c>
      <c r="F10" t="s">
        <v>145</v>
      </c>
      <c r="G10">
        <v>6250</v>
      </c>
      <c r="H10">
        <v>45200</v>
      </c>
      <c r="M10">
        <v>19</v>
      </c>
      <c r="N10">
        <f t="shared" si="1"/>
        <v>11250</v>
      </c>
      <c r="O10">
        <f t="shared" si="0"/>
        <v>11250</v>
      </c>
    </row>
    <row r="11" spans="1:15" x14ac:dyDescent="0.3">
      <c r="A11">
        <v>10</v>
      </c>
      <c r="B11" t="s">
        <v>180</v>
      </c>
      <c r="C11" t="s">
        <v>181</v>
      </c>
      <c r="D11" t="s">
        <v>182</v>
      </c>
      <c r="E11" t="s">
        <v>161</v>
      </c>
      <c r="F11" t="s">
        <v>151</v>
      </c>
      <c r="G11">
        <v>8750</v>
      </c>
      <c r="H11">
        <v>45200</v>
      </c>
      <c r="M11" t="s">
        <v>187</v>
      </c>
      <c r="N11">
        <f t="shared" si="1"/>
        <v>10000</v>
      </c>
      <c r="O11">
        <f t="shared" si="0"/>
        <v>10000</v>
      </c>
    </row>
    <row r="12" spans="1:15" x14ac:dyDescent="0.3">
      <c r="A12">
        <v>11</v>
      </c>
      <c r="B12" t="s">
        <v>184</v>
      </c>
      <c r="C12" t="s">
        <v>185</v>
      </c>
      <c r="D12" t="s">
        <v>182</v>
      </c>
      <c r="E12" t="s">
        <v>161</v>
      </c>
      <c r="F12" t="s">
        <v>156</v>
      </c>
      <c r="G12">
        <v>11250</v>
      </c>
      <c r="H12">
        <v>45634</v>
      </c>
      <c r="M12">
        <v>22</v>
      </c>
      <c r="N12" t="e">
        <f t="shared" si="1"/>
        <v>#N/A</v>
      </c>
      <c r="O12" t="e">
        <f t="shared" si="0"/>
        <v>#N/A</v>
      </c>
    </row>
    <row r="13" spans="1:15" x14ac:dyDescent="0.3">
      <c r="A13">
        <v>12</v>
      </c>
      <c r="B13" t="s">
        <v>187</v>
      </c>
      <c r="C13" t="s">
        <v>188</v>
      </c>
      <c r="D13" t="s">
        <v>189</v>
      </c>
      <c r="E13" t="s">
        <v>161</v>
      </c>
      <c r="F13" t="s">
        <v>162</v>
      </c>
      <c r="G13">
        <v>10000</v>
      </c>
      <c r="H13">
        <v>45634</v>
      </c>
    </row>
    <row r="14" spans="1:15" x14ac:dyDescent="0.3">
      <c r="A14">
        <v>13</v>
      </c>
      <c r="B14" t="s">
        <v>190</v>
      </c>
      <c r="C14" t="s">
        <v>148</v>
      </c>
      <c r="D14" t="s">
        <v>191</v>
      </c>
      <c r="E14" t="s">
        <v>161</v>
      </c>
      <c r="F14" t="s">
        <v>145</v>
      </c>
      <c r="G14">
        <v>16250</v>
      </c>
      <c r="H14">
        <v>44941</v>
      </c>
    </row>
    <row r="15" spans="1:15" x14ac:dyDescent="0.3">
      <c r="A15">
        <v>14</v>
      </c>
      <c r="B15" t="s">
        <v>193</v>
      </c>
      <c r="C15" t="s">
        <v>154</v>
      </c>
      <c r="D15" t="s">
        <v>189</v>
      </c>
      <c r="E15" t="s">
        <v>161</v>
      </c>
      <c r="F15" t="s">
        <v>151</v>
      </c>
      <c r="G15">
        <v>6400</v>
      </c>
      <c r="H15">
        <v>45614</v>
      </c>
    </row>
    <row r="16" spans="1:15" x14ac:dyDescent="0.3">
      <c r="A16">
        <v>15</v>
      </c>
      <c r="B16" t="s">
        <v>195</v>
      </c>
      <c r="C16" t="s">
        <v>196</v>
      </c>
      <c r="D16" t="s">
        <v>149</v>
      </c>
      <c r="E16" t="s">
        <v>150</v>
      </c>
      <c r="F16" t="s">
        <v>156</v>
      </c>
      <c r="G16">
        <v>24000</v>
      </c>
      <c r="H16">
        <v>44944</v>
      </c>
    </row>
    <row r="17" spans="1:29" x14ac:dyDescent="0.3">
      <c r="A17">
        <v>16</v>
      </c>
      <c r="B17" t="s">
        <v>198</v>
      </c>
      <c r="C17" t="s">
        <v>176</v>
      </c>
      <c r="D17" t="s">
        <v>189</v>
      </c>
      <c r="E17" t="s">
        <v>161</v>
      </c>
      <c r="F17" t="s">
        <v>162</v>
      </c>
      <c r="G17">
        <v>6275</v>
      </c>
      <c r="H17">
        <v>45611</v>
      </c>
      <c r="N17" s="7"/>
    </row>
    <row r="18" spans="1:29" ht="25.8" x14ac:dyDescent="0.5">
      <c r="A18">
        <v>17</v>
      </c>
      <c r="B18" t="s">
        <v>200</v>
      </c>
      <c r="C18" t="s">
        <v>142</v>
      </c>
      <c r="D18" t="s">
        <v>143</v>
      </c>
      <c r="E18" t="s">
        <v>144</v>
      </c>
      <c r="F18" t="s">
        <v>202</v>
      </c>
      <c r="G18">
        <v>6250</v>
      </c>
      <c r="H18">
        <v>44927</v>
      </c>
      <c r="N18" s="143" t="str">
        <f ca="1">_xlfn.FORMULATEXT(N3)</f>
        <v>=IF(ISNUMBER(M3),VLOOKUP(M3,A1:H21,7,FALSE),VLOOKUP(M3,B1:H21,6,FALSE))</v>
      </c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</row>
    <row r="19" spans="1:29" ht="25.8" customHeight="1" x14ac:dyDescent="0.3">
      <c r="A19">
        <v>18</v>
      </c>
      <c r="B19" t="s">
        <v>204</v>
      </c>
      <c r="C19" t="s">
        <v>142</v>
      </c>
      <c r="D19" t="s">
        <v>143</v>
      </c>
      <c r="E19" t="s">
        <v>144</v>
      </c>
      <c r="F19" t="s">
        <v>162</v>
      </c>
      <c r="G19">
        <v>8750</v>
      </c>
      <c r="H19">
        <v>45614</v>
      </c>
      <c r="N19" s="144" t="str">
        <f ca="1">_xlfn.FORMULATEXT(O3)</f>
        <v>=IF(ISNUMBER(M3),VLOOKUP(M3,EmpCodeArray,MATCH($N$2,EmpCodeHeader,0),FALSE),VLOOKUP(M3,NametableArray,MATCH($N$2,NametableHeader,0),FALSE))</v>
      </c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</row>
    <row r="20" spans="1:29" ht="14.4" customHeight="1" x14ac:dyDescent="0.3">
      <c r="A20">
        <v>19</v>
      </c>
      <c r="B20" t="s">
        <v>207</v>
      </c>
      <c r="C20" t="s">
        <v>208</v>
      </c>
      <c r="D20" t="s">
        <v>209</v>
      </c>
      <c r="E20" t="s">
        <v>144</v>
      </c>
      <c r="F20" t="s">
        <v>202</v>
      </c>
      <c r="G20">
        <v>11250</v>
      </c>
      <c r="H20">
        <v>45611</v>
      </c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</row>
    <row r="21" spans="1:29" x14ac:dyDescent="0.3">
      <c r="A21">
        <v>20</v>
      </c>
      <c r="B21" t="s">
        <v>210</v>
      </c>
      <c r="C21" t="s">
        <v>211</v>
      </c>
      <c r="D21" t="s">
        <v>155</v>
      </c>
      <c r="E21" t="s">
        <v>150</v>
      </c>
      <c r="F21" t="s">
        <v>145</v>
      </c>
      <c r="G21">
        <v>20000</v>
      </c>
      <c r="H21">
        <v>45635</v>
      </c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</row>
    <row r="22" spans="1:29" x14ac:dyDescent="0.3"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</row>
    <row r="23" spans="1:29" x14ac:dyDescent="0.3"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</row>
  </sheetData>
  <mergeCells count="2">
    <mergeCell ref="N18:AA18"/>
    <mergeCell ref="N19:AC23"/>
  </mergeCells>
  <dataValidations disablePrompts="1" count="1">
    <dataValidation type="list" allowBlank="1" showInputMessage="1" showErrorMessage="1" sqref="E2:E21" xr:uid="{F0F52D8F-57D7-4E19-80CE-81CDA5C8953E}">
      <formula1>"E,W,S,N"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CF2C-3E2D-4D82-A6F3-CFE6D209FA18}">
  <sheetPr codeName="Sheet29"/>
  <dimension ref="A1:T21"/>
  <sheetViews>
    <sheetView zoomScale="99" workbookViewId="0">
      <selection sqref="A1:G21"/>
    </sheetView>
  </sheetViews>
  <sheetFormatPr defaultRowHeight="14.4" x14ac:dyDescent="0.3"/>
  <cols>
    <col min="1" max="1" width="11.21875" customWidth="1"/>
    <col min="2" max="2" width="22" customWidth="1"/>
    <col min="3" max="3" width="12.88671875" customWidth="1"/>
    <col min="4" max="4" width="12.109375" customWidth="1"/>
    <col min="5" max="5" width="7.77734375" customWidth="1"/>
    <col min="6" max="6" width="8.77734375" customWidth="1"/>
    <col min="7" max="7" width="13.33203125" customWidth="1"/>
    <col min="10" max="10" width="4.88671875" customWidth="1"/>
    <col min="11" max="11" width="11.33203125" customWidth="1"/>
    <col min="12" max="12" width="18.5546875" customWidth="1"/>
    <col min="13" max="13" width="23.33203125" customWidth="1"/>
  </cols>
  <sheetData>
    <row r="1" spans="1:16" x14ac:dyDescent="0.3">
      <c r="A1" s="31" t="s">
        <v>134</v>
      </c>
      <c r="B1" s="31" t="s">
        <v>576</v>
      </c>
      <c r="C1" s="31" t="s">
        <v>577</v>
      </c>
      <c r="D1" s="31" t="s">
        <v>585</v>
      </c>
      <c r="E1" s="31" t="s">
        <v>578</v>
      </c>
      <c r="F1" s="31" t="s">
        <v>579</v>
      </c>
      <c r="G1" s="31" t="s">
        <v>586</v>
      </c>
    </row>
    <row r="2" spans="1:16" x14ac:dyDescent="0.3">
      <c r="A2">
        <v>1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>
        <v>30000</v>
      </c>
    </row>
    <row r="3" spans="1:16" x14ac:dyDescent="0.3">
      <c r="A3">
        <v>2</v>
      </c>
      <c r="B3" t="s">
        <v>147</v>
      </c>
      <c r="C3" t="s">
        <v>148</v>
      </c>
      <c r="D3" t="s">
        <v>149</v>
      </c>
      <c r="E3" t="s">
        <v>161</v>
      </c>
      <c r="F3" t="s">
        <v>151</v>
      </c>
      <c r="G3">
        <v>8750</v>
      </c>
    </row>
    <row r="4" spans="1:16" x14ac:dyDescent="0.3">
      <c r="A4">
        <v>3</v>
      </c>
      <c r="B4" t="s">
        <v>153</v>
      </c>
      <c r="C4" t="s">
        <v>154</v>
      </c>
      <c r="D4" t="s">
        <v>155</v>
      </c>
      <c r="E4" t="s">
        <v>150</v>
      </c>
      <c r="F4" t="s">
        <v>156</v>
      </c>
      <c r="G4">
        <v>11250</v>
      </c>
      <c r="K4" s="31" t="s">
        <v>134</v>
      </c>
      <c r="L4" s="31" t="s">
        <v>576</v>
      </c>
      <c r="M4" s="31" t="s">
        <v>577</v>
      </c>
      <c r="N4" s="31" t="s">
        <v>585</v>
      </c>
      <c r="O4" s="31" t="s">
        <v>578</v>
      </c>
      <c r="P4" s="31" t="s">
        <v>579</v>
      </c>
    </row>
    <row r="5" spans="1:16" x14ac:dyDescent="0.3">
      <c r="A5">
        <v>4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>
        <v>10000</v>
      </c>
      <c r="K5">
        <f>INDEX(A1:G21,MATCH(L5,B1:B21,0),MATCH(K4,A1:G1,0))</f>
        <v>1</v>
      </c>
      <c r="L5" t="s">
        <v>141</v>
      </c>
      <c r="M5" t="str">
        <f>INDEX(A1:G21,MATCH(L5,B1:B21,0),MATCH(M4,A1:G1,0))</f>
        <v>Andheri (W)</v>
      </c>
      <c r="N5" t="str">
        <f t="shared" ref="N5:N14" si="0">INDEX(TableArray,MATCH(L5,namerange,0),MATCH(N$4,HeaderArray,0))</f>
        <v>Mumbai</v>
      </c>
      <c r="O5" t="str">
        <f t="shared" ref="O5:O14" si="1">INDEX(TableArray,MATCH(L5,namerange,0),MATCH(O$4,HeaderArray,0))</f>
        <v>W</v>
      </c>
      <c r="P5" t="str">
        <f>INDEX(TableArray,MATCH($L5,namerange,0),MATCH(P$4,HeaderArray,0))</f>
        <v>Training</v>
      </c>
    </row>
    <row r="6" spans="1:16" x14ac:dyDescent="0.3">
      <c r="A6">
        <v>5</v>
      </c>
      <c r="B6" t="s">
        <v>164</v>
      </c>
      <c r="C6" t="s">
        <v>165</v>
      </c>
      <c r="D6" t="s">
        <v>149</v>
      </c>
      <c r="E6" t="s">
        <v>150</v>
      </c>
      <c r="F6" t="s">
        <v>145</v>
      </c>
      <c r="G6">
        <v>16250</v>
      </c>
      <c r="K6">
        <f t="shared" ref="K6:K14" si="2">INDEX(A2:G22,MATCH(L6,B2:B22,0),MATCH(K5,A2:G2,0))</f>
        <v>2</v>
      </c>
      <c r="L6" t="s">
        <v>147</v>
      </c>
      <c r="M6" t="str">
        <f t="shared" ref="M6:M14" si="3">INDEX(A2:G22,MATCH(L6,B2:B22,0),MATCH(M5,A2:G2,0))</f>
        <v>Govindpuri</v>
      </c>
      <c r="N6" t="str">
        <f t="shared" si="0"/>
        <v>Delhi</v>
      </c>
      <c r="O6" t="str">
        <f t="shared" si="1"/>
        <v>S</v>
      </c>
      <c r="P6" t="str">
        <f t="shared" ref="P6:P14" si="4">INDEX(TableArray,MATCH(L6,namerange,0),MATCH(P$4,HeaderArray,0))</f>
        <v>Accounts</v>
      </c>
    </row>
    <row r="7" spans="1:16" x14ac:dyDescent="0.3">
      <c r="A7">
        <v>6</v>
      </c>
      <c r="B7" t="s">
        <v>167</v>
      </c>
      <c r="C7" t="s">
        <v>168</v>
      </c>
      <c r="D7" t="s">
        <v>169</v>
      </c>
      <c r="E7" t="s">
        <v>67</v>
      </c>
      <c r="F7" t="s">
        <v>151</v>
      </c>
      <c r="G7">
        <v>6400</v>
      </c>
      <c r="K7">
        <f t="shared" si="2"/>
        <v>3</v>
      </c>
      <c r="L7" t="s">
        <v>153</v>
      </c>
      <c r="M7" t="str">
        <f t="shared" si="3"/>
        <v>Sector 9</v>
      </c>
      <c r="N7" t="str">
        <f t="shared" si="0"/>
        <v>Noida</v>
      </c>
      <c r="O7" t="str">
        <f t="shared" si="1"/>
        <v>N</v>
      </c>
      <c r="P7" t="str">
        <f t="shared" si="4"/>
        <v>Marketing</v>
      </c>
    </row>
    <row r="8" spans="1:16" x14ac:dyDescent="0.3">
      <c r="A8">
        <v>7</v>
      </c>
      <c r="B8" t="s">
        <v>171</v>
      </c>
      <c r="C8" t="s">
        <v>172</v>
      </c>
      <c r="D8" t="s">
        <v>173</v>
      </c>
      <c r="E8" t="s">
        <v>67</v>
      </c>
      <c r="F8" t="s">
        <v>156</v>
      </c>
      <c r="G8">
        <v>4500</v>
      </c>
      <c r="K8">
        <f t="shared" si="2"/>
        <v>4</v>
      </c>
      <c r="L8" t="s">
        <v>158</v>
      </c>
      <c r="M8" t="str">
        <f t="shared" si="3"/>
        <v>Egmore</v>
      </c>
      <c r="N8" t="str">
        <f t="shared" si="0"/>
        <v>Chennai</v>
      </c>
      <c r="O8" t="str">
        <f t="shared" si="1"/>
        <v>S</v>
      </c>
      <c r="P8" t="str">
        <f t="shared" si="4"/>
        <v>R&amp;D</v>
      </c>
    </row>
    <row r="9" spans="1:16" x14ac:dyDescent="0.3">
      <c r="A9">
        <v>8</v>
      </c>
      <c r="B9" t="s">
        <v>175</v>
      </c>
      <c r="C9" t="s">
        <v>176</v>
      </c>
      <c r="D9" t="s">
        <v>587</v>
      </c>
      <c r="E9" t="s">
        <v>67</v>
      </c>
      <c r="F9" t="s">
        <v>162</v>
      </c>
      <c r="G9">
        <v>6275</v>
      </c>
      <c r="K9">
        <f t="shared" si="2"/>
        <v>5</v>
      </c>
      <c r="L9" t="s">
        <v>164</v>
      </c>
      <c r="M9" t="str">
        <f t="shared" si="3"/>
        <v>G K - II</v>
      </c>
      <c r="N9" t="str">
        <f t="shared" si="0"/>
        <v>Delhi</v>
      </c>
      <c r="O9" t="str">
        <f t="shared" si="1"/>
        <v>N</v>
      </c>
      <c r="P9" t="str">
        <f t="shared" si="4"/>
        <v>Training</v>
      </c>
    </row>
    <row r="10" spans="1:16" x14ac:dyDescent="0.3">
      <c r="A10">
        <v>9</v>
      </c>
      <c r="B10" t="s">
        <v>178</v>
      </c>
      <c r="C10" t="s">
        <v>179</v>
      </c>
      <c r="D10" t="s">
        <v>143</v>
      </c>
      <c r="E10" t="s">
        <v>144</v>
      </c>
      <c r="F10" t="s">
        <v>145</v>
      </c>
      <c r="G10">
        <v>6250</v>
      </c>
      <c r="K10">
        <f t="shared" si="2"/>
        <v>6</v>
      </c>
      <c r="L10" t="s">
        <v>167</v>
      </c>
      <c r="M10" t="str">
        <f t="shared" si="3"/>
        <v>Link Road</v>
      </c>
      <c r="N10" t="str">
        <f t="shared" si="0"/>
        <v>Cuttack</v>
      </c>
      <c r="O10" t="str">
        <f t="shared" si="1"/>
        <v>E</v>
      </c>
      <c r="P10" t="str">
        <f t="shared" si="4"/>
        <v>Accounts</v>
      </c>
    </row>
    <row r="11" spans="1:16" x14ac:dyDescent="0.3">
      <c r="A11">
        <v>10</v>
      </c>
      <c r="B11" t="s">
        <v>180</v>
      </c>
      <c r="C11" t="s">
        <v>181</v>
      </c>
      <c r="D11" t="s">
        <v>182</v>
      </c>
      <c r="E11" t="s">
        <v>161</v>
      </c>
      <c r="F11" t="s">
        <v>151</v>
      </c>
      <c r="G11">
        <v>8750</v>
      </c>
      <c r="K11">
        <f t="shared" si="2"/>
        <v>7</v>
      </c>
      <c r="L11" t="s">
        <v>171</v>
      </c>
      <c r="M11" t="str">
        <f t="shared" si="3"/>
        <v>Elgin Road</v>
      </c>
      <c r="N11" t="str">
        <f t="shared" si="0"/>
        <v>Kolkata</v>
      </c>
      <c r="O11" t="str">
        <f t="shared" si="1"/>
        <v>E</v>
      </c>
      <c r="P11" t="str">
        <f t="shared" si="4"/>
        <v>Marketing</v>
      </c>
    </row>
    <row r="12" spans="1:16" x14ac:dyDescent="0.3">
      <c r="A12">
        <v>11</v>
      </c>
      <c r="B12" t="s">
        <v>184</v>
      </c>
      <c r="C12" t="s">
        <v>185</v>
      </c>
      <c r="D12" t="s">
        <v>182</v>
      </c>
      <c r="E12" t="s">
        <v>161</v>
      </c>
      <c r="F12" t="s">
        <v>156</v>
      </c>
      <c r="G12">
        <v>11250</v>
      </c>
      <c r="K12">
        <f t="shared" si="2"/>
        <v>8</v>
      </c>
      <c r="L12" t="s">
        <v>175</v>
      </c>
      <c r="M12" t="str">
        <f t="shared" si="3"/>
        <v>Alipore</v>
      </c>
      <c r="N12" t="str">
        <f t="shared" si="0"/>
        <v>banglore</v>
      </c>
      <c r="O12" t="str">
        <f t="shared" si="1"/>
        <v>E</v>
      </c>
      <c r="P12" t="str">
        <f t="shared" si="4"/>
        <v>R&amp;D</v>
      </c>
    </row>
    <row r="13" spans="1:16" x14ac:dyDescent="0.3">
      <c r="A13">
        <v>12</v>
      </c>
      <c r="B13" t="s">
        <v>187</v>
      </c>
      <c r="C13" t="s">
        <v>188</v>
      </c>
      <c r="D13" t="s">
        <v>189</v>
      </c>
      <c r="E13" t="s">
        <v>161</v>
      </c>
      <c r="F13" t="s">
        <v>162</v>
      </c>
      <c r="G13">
        <v>10000</v>
      </c>
      <c r="K13">
        <f t="shared" si="2"/>
        <v>9</v>
      </c>
      <c r="L13" t="s">
        <v>178</v>
      </c>
      <c r="M13" t="str">
        <f t="shared" si="3"/>
        <v>MG Road</v>
      </c>
      <c r="N13" t="str">
        <f t="shared" si="0"/>
        <v>Mumbai</v>
      </c>
      <c r="O13" t="str">
        <f t="shared" si="1"/>
        <v>W</v>
      </c>
      <c r="P13" t="str">
        <f t="shared" si="4"/>
        <v>Training</v>
      </c>
    </row>
    <row r="14" spans="1:16" x14ac:dyDescent="0.3">
      <c r="A14">
        <v>13</v>
      </c>
      <c r="B14" t="s">
        <v>190</v>
      </c>
      <c r="C14" t="s">
        <v>148</v>
      </c>
      <c r="D14" t="s">
        <v>191</v>
      </c>
      <c r="E14" t="s">
        <v>161</v>
      </c>
      <c r="F14" t="s">
        <v>145</v>
      </c>
      <c r="G14">
        <v>16250</v>
      </c>
      <c r="K14">
        <f t="shared" si="2"/>
        <v>10</v>
      </c>
      <c r="L14" t="s">
        <v>180</v>
      </c>
      <c r="M14" t="str">
        <f t="shared" si="3"/>
        <v>Kormangala</v>
      </c>
      <c r="N14" t="str">
        <f t="shared" si="0"/>
        <v>Bangalore</v>
      </c>
      <c r="O14" t="str">
        <f t="shared" si="1"/>
        <v>S</v>
      </c>
      <c r="P14" t="str">
        <f t="shared" si="4"/>
        <v>Accounts</v>
      </c>
    </row>
    <row r="15" spans="1:16" x14ac:dyDescent="0.3">
      <c r="A15">
        <v>14</v>
      </c>
      <c r="B15" t="s">
        <v>193</v>
      </c>
      <c r="C15" t="s">
        <v>154</v>
      </c>
      <c r="D15" t="s">
        <v>189</v>
      </c>
      <c r="E15" t="s">
        <v>161</v>
      </c>
      <c r="F15" t="s">
        <v>151</v>
      </c>
      <c r="G15">
        <v>6400</v>
      </c>
    </row>
    <row r="16" spans="1:16" x14ac:dyDescent="0.3">
      <c r="A16">
        <v>15</v>
      </c>
      <c r="B16" t="s">
        <v>195</v>
      </c>
      <c r="C16" t="s">
        <v>196</v>
      </c>
      <c r="D16" t="s">
        <v>149</v>
      </c>
      <c r="E16" t="s">
        <v>150</v>
      </c>
      <c r="F16" t="s">
        <v>156</v>
      </c>
      <c r="G16">
        <v>24000</v>
      </c>
    </row>
    <row r="17" spans="1:20" x14ac:dyDescent="0.3">
      <c r="A17">
        <v>16</v>
      </c>
      <c r="B17" t="s">
        <v>198</v>
      </c>
      <c r="C17" t="s">
        <v>176</v>
      </c>
      <c r="D17" t="s">
        <v>189</v>
      </c>
      <c r="E17" t="s">
        <v>161</v>
      </c>
      <c r="F17" t="s">
        <v>162</v>
      </c>
      <c r="G17">
        <v>6275</v>
      </c>
    </row>
    <row r="18" spans="1:20" ht="23.4" x14ac:dyDescent="0.45">
      <c r="A18">
        <v>17</v>
      </c>
      <c r="B18" t="s">
        <v>200</v>
      </c>
      <c r="C18" t="s">
        <v>142</v>
      </c>
      <c r="D18" t="s">
        <v>143</v>
      </c>
      <c r="E18" t="s">
        <v>144</v>
      </c>
      <c r="F18" t="s">
        <v>202</v>
      </c>
      <c r="G18">
        <v>6250</v>
      </c>
      <c r="K18" t="s">
        <v>136</v>
      </c>
      <c r="L18" s="145" t="str">
        <f ca="1">_xlfn.FORMULATEXT(M5)</f>
        <v>=INDEX(A1:G21,MATCH(L5,B1:B21,0),MATCH(M4,A1:G1,0))</v>
      </c>
      <c r="M18" s="145"/>
      <c r="N18" s="145"/>
      <c r="O18" s="145"/>
      <c r="P18" s="145"/>
      <c r="Q18" s="145"/>
      <c r="R18" s="145"/>
    </row>
    <row r="19" spans="1:20" x14ac:dyDescent="0.3">
      <c r="A19">
        <v>18</v>
      </c>
      <c r="B19" t="s">
        <v>204</v>
      </c>
      <c r="C19" t="s">
        <v>142</v>
      </c>
      <c r="D19" t="s">
        <v>143</v>
      </c>
      <c r="E19" t="s">
        <v>144</v>
      </c>
      <c r="F19" t="s">
        <v>162</v>
      </c>
      <c r="G19">
        <v>8750</v>
      </c>
    </row>
    <row r="20" spans="1:20" x14ac:dyDescent="0.3">
      <c r="A20">
        <v>19</v>
      </c>
      <c r="B20" t="s">
        <v>207</v>
      </c>
      <c r="C20" t="s">
        <v>208</v>
      </c>
      <c r="D20" t="s">
        <v>209</v>
      </c>
      <c r="E20" t="s">
        <v>144</v>
      </c>
      <c r="F20" t="s">
        <v>202</v>
      </c>
      <c r="G20">
        <v>11250</v>
      </c>
    </row>
    <row r="21" spans="1:20" ht="23.4" x14ac:dyDescent="0.45">
      <c r="A21">
        <v>20</v>
      </c>
      <c r="B21" t="s">
        <v>210</v>
      </c>
      <c r="C21" t="s">
        <v>211</v>
      </c>
      <c r="D21" t="s">
        <v>155</v>
      </c>
      <c r="E21" t="s">
        <v>150</v>
      </c>
      <c r="F21" t="s">
        <v>145</v>
      </c>
      <c r="G21">
        <v>20000</v>
      </c>
      <c r="K21" t="s">
        <v>645</v>
      </c>
      <c r="L21" s="145" t="str">
        <f ca="1">_xlfn.FORMULATEXT(N5)</f>
        <v>=INDEX(TableArray,MATCH(L5,namerange,0),MATCH(N$4,HeaderArray,0))</v>
      </c>
      <c r="M21" s="145"/>
      <c r="N21" s="145"/>
      <c r="O21" s="145"/>
      <c r="P21" s="145"/>
      <c r="Q21" s="145"/>
      <c r="R21" s="145"/>
      <c r="S21" s="145"/>
      <c r="T21" s="145"/>
    </row>
  </sheetData>
  <mergeCells count="2">
    <mergeCell ref="L18:R18"/>
    <mergeCell ref="L21:T21"/>
  </mergeCells>
  <dataValidations count="1">
    <dataValidation type="list" allowBlank="1" showInputMessage="1" showErrorMessage="1" sqref="E2:E21" xr:uid="{6192D1A1-97CE-4036-8831-F0E27FEB3AD8}">
      <formula1>"E,W,S,N"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CC3A-38B4-4790-83C8-57F1D6363D4F}">
  <sheetPr codeName="Sheet30"/>
  <dimension ref="A1:U21"/>
  <sheetViews>
    <sheetView topLeftCell="A4" zoomScale="98" workbookViewId="0">
      <selection activeCell="B19" sqref="B19"/>
    </sheetView>
  </sheetViews>
  <sheetFormatPr defaultRowHeight="14.4" x14ac:dyDescent="0.3"/>
  <cols>
    <col min="1" max="1" width="12.44140625" customWidth="1"/>
    <col min="2" max="2" width="24.44140625" customWidth="1"/>
    <col min="3" max="3" width="15.109375" customWidth="1"/>
    <col min="4" max="4" width="11.88671875" customWidth="1"/>
    <col min="5" max="5" width="10.33203125" customWidth="1"/>
    <col min="6" max="6" width="11.44140625" customWidth="1"/>
    <col min="7" max="7" width="16.5546875" customWidth="1"/>
    <col min="8" max="8" width="16.109375" customWidth="1"/>
    <col min="9" max="9" width="13" customWidth="1"/>
    <col min="11" max="11" width="12.33203125" customWidth="1"/>
    <col min="13" max="13" width="12.6640625" customWidth="1"/>
    <col min="14" max="14" width="17.88671875" customWidth="1"/>
  </cols>
  <sheetData>
    <row r="1" spans="1:21" x14ac:dyDescent="0.3">
      <c r="A1" s="17" t="s">
        <v>134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3">
      <c r="A2" s="17" t="s">
        <v>576</v>
      </c>
      <c r="B2" t="s">
        <v>141</v>
      </c>
      <c r="C2" t="s">
        <v>147</v>
      </c>
      <c r="D2" t="s">
        <v>153</v>
      </c>
      <c r="E2" t="s">
        <v>158</v>
      </c>
      <c r="F2" t="s">
        <v>164</v>
      </c>
      <c r="G2" t="s">
        <v>167</v>
      </c>
      <c r="H2" t="s">
        <v>171</v>
      </c>
      <c r="I2" t="s">
        <v>175</v>
      </c>
      <c r="J2" t="s">
        <v>178</v>
      </c>
      <c r="K2" t="s">
        <v>180</v>
      </c>
      <c r="L2" t="s">
        <v>184</v>
      </c>
      <c r="M2" t="s">
        <v>187</v>
      </c>
      <c r="N2" t="s">
        <v>190</v>
      </c>
      <c r="O2" t="s">
        <v>193</v>
      </c>
      <c r="P2" t="s">
        <v>195</v>
      </c>
      <c r="Q2" t="s">
        <v>198</v>
      </c>
      <c r="R2" t="s">
        <v>200</v>
      </c>
      <c r="S2" t="s">
        <v>204</v>
      </c>
      <c r="T2" t="s">
        <v>207</v>
      </c>
      <c r="U2" t="s">
        <v>210</v>
      </c>
    </row>
    <row r="3" spans="1:21" x14ac:dyDescent="0.3">
      <c r="A3" s="17" t="s">
        <v>577</v>
      </c>
      <c r="B3" t="s">
        <v>142</v>
      </c>
      <c r="C3" t="s">
        <v>148</v>
      </c>
      <c r="D3" t="s">
        <v>154</v>
      </c>
      <c r="E3" t="s">
        <v>159</v>
      </c>
      <c r="F3" t="s">
        <v>165</v>
      </c>
      <c r="G3" t="s">
        <v>168</v>
      </c>
      <c r="H3" t="s">
        <v>172</v>
      </c>
      <c r="I3" t="s">
        <v>176</v>
      </c>
      <c r="J3" t="s">
        <v>179</v>
      </c>
      <c r="K3" t="s">
        <v>181</v>
      </c>
      <c r="L3" t="s">
        <v>185</v>
      </c>
      <c r="M3" t="s">
        <v>188</v>
      </c>
      <c r="N3" t="s">
        <v>148</v>
      </c>
      <c r="O3" t="s">
        <v>154</v>
      </c>
      <c r="P3" t="s">
        <v>196</v>
      </c>
      <c r="Q3" t="s">
        <v>176</v>
      </c>
      <c r="R3" t="s">
        <v>142</v>
      </c>
      <c r="S3" t="s">
        <v>142</v>
      </c>
      <c r="T3" t="s">
        <v>208</v>
      </c>
      <c r="U3" t="s">
        <v>211</v>
      </c>
    </row>
    <row r="4" spans="1:21" x14ac:dyDescent="0.3">
      <c r="A4" s="17" t="s">
        <v>585</v>
      </c>
      <c r="B4" t="s">
        <v>143</v>
      </c>
      <c r="C4" t="s">
        <v>149</v>
      </c>
      <c r="D4" t="s">
        <v>155</v>
      </c>
      <c r="E4" t="s">
        <v>160</v>
      </c>
      <c r="F4" t="s">
        <v>149</v>
      </c>
      <c r="G4" t="s">
        <v>169</v>
      </c>
      <c r="H4" t="s">
        <v>173</v>
      </c>
      <c r="I4" t="s">
        <v>587</v>
      </c>
      <c r="J4" t="s">
        <v>143</v>
      </c>
      <c r="K4" t="s">
        <v>182</v>
      </c>
      <c r="L4" t="s">
        <v>182</v>
      </c>
      <c r="M4" t="s">
        <v>189</v>
      </c>
      <c r="N4" t="s">
        <v>191</v>
      </c>
      <c r="O4" t="s">
        <v>189</v>
      </c>
      <c r="P4" t="s">
        <v>149</v>
      </c>
      <c r="Q4" t="s">
        <v>189</v>
      </c>
      <c r="R4" t="s">
        <v>143</v>
      </c>
      <c r="S4" t="s">
        <v>143</v>
      </c>
      <c r="T4" t="s">
        <v>209</v>
      </c>
      <c r="U4" t="s">
        <v>155</v>
      </c>
    </row>
    <row r="5" spans="1:21" x14ac:dyDescent="0.3">
      <c r="A5" s="17" t="s">
        <v>578</v>
      </c>
      <c r="B5" t="s">
        <v>144</v>
      </c>
      <c r="C5" t="s">
        <v>161</v>
      </c>
      <c r="D5" t="s">
        <v>150</v>
      </c>
      <c r="E5" t="s">
        <v>161</v>
      </c>
      <c r="F5" t="s">
        <v>150</v>
      </c>
      <c r="G5" t="s">
        <v>67</v>
      </c>
      <c r="H5" t="s">
        <v>67</v>
      </c>
      <c r="I5" t="s">
        <v>67</v>
      </c>
      <c r="J5" t="s">
        <v>144</v>
      </c>
      <c r="K5" t="s">
        <v>161</v>
      </c>
      <c r="L5" t="s">
        <v>161</v>
      </c>
      <c r="M5" t="s">
        <v>161</v>
      </c>
      <c r="N5" t="s">
        <v>161</v>
      </c>
      <c r="O5" t="s">
        <v>161</v>
      </c>
      <c r="P5" t="s">
        <v>150</v>
      </c>
      <c r="Q5" t="s">
        <v>161</v>
      </c>
      <c r="R5" t="s">
        <v>144</v>
      </c>
      <c r="S5" t="s">
        <v>144</v>
      </c>
      <c r="T5" t="s">
        <v>144</v>
      </c>
      <c r="U5" t="s">
        <v>150</v>
      </c>
    </row>
    <row r="6" spans="1:21" x14ac:dyDescent="0.3">
      <c r="A6" s="17" t="s">
        <v>579</v>
      </c>
      <c r="B6" t="s">
        <v>145</v>
      </c>
      <c r="C6" t="s">
        <v>151</v>
      </c>
      <c r="D6" t="s">
        <v>156</v>
      </c>
      <c r="E6" t="s">
        <v>162</v>
      </c>
      <c r="F6" t="s">
        <v>145</v>
      </c>
      <c r="G6" t="s">
        <v>151</v>
      </c>
      <c r="H6" t="s">
        <v>156</v>
      </c>
      <c r="I6" t="s">
        <v>162</v>
      </c>
      <c r="J6" t="s">
        <v>145</v>
      </c>
      <c r="K6" t="s">
        <v>151</v>
      </c>
      <c r="L6" t="s">
        <v>156</v>
      </c>
      <c r="M6" t="s">
        <v>162</v>
      </c>
      <c r="N6" t="s">
        <v>145</v>
      </c>
      <c r="O6" t="s">
        <v>151</v>
      </c>
      <c r="P6" t="s">
        <v>156</v>
      </c>
      <c r="Q6" t="s">
        <v>162</v>
      </c>
      <c r="R6" t="s">
        <v>202</v>
      </c>
      <c r="S6" t="s">
        <v>162</v>
      </c>
      <c r="T6" t="s">
        <v>202</v>
      </c>
      <c r="U6" t="s">
        <v>145</v>
      </c>
    </row>
    <row r="7" spans="1:21" x14ac:dyDescent="0.3">
      <c r="A7" s="17" t="s">
        <v>580</v>
      </c>
      <c r="B7">
        <v>30000</v>
      </c>
      <c r="C7">
        <v>8750</v>
      </c>
      <c r="D7">
        <v>11250</v>
      </c>
      <c r="E7">
        <v>10000</v>
      </c>
      <c r="F7">
        <v>16250</v>
      </c>
      <c r="G7">
        <v>6400</v>
      </c>
      <c r="H7">
        <v>4500</v>
      </c>
      <c r="I7">
        <v>6275</v>
      </c>
      <c r="J7">
        <v>6250</v>
      </c>
      <c r="K7">
        <v>8750</v>
      </c>
      <c r="L7">
        <v>11250</v>
      </c>
      <c r="M7">
        <v>10000</v>
      </c>
      <c r="N7">
        <v>16250</v>
      </c>
      <c r="O7">
        <v>6400</v>
      </c>
      <c r="P7">
        <v>24000</v>
      </c>
      <c r="Q7">
        <v>6275</v>
      </c>
      <c r="R7">
        <v>6250</v>
      </c>
      <c r="S7">
        <v>8750</v>
      </c>
      <c r="T7">
        <v>11250</v>
      </c>
      <c r="U7">
        <v>20000</v>
      </c>
    </row>
    <row r="14" spans="1:21" x14ac:dyDescent="0.3">
      <c r="A14" s="17" t="s">
        <v>589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  <c r="N14">
        <v>13</v>
      </c>
      <c r="O14">
        <v>14</v>
      </c>
      <c r="P14">
        <v>15</v>
      </c>
      <c r="Q14">
        <v>16</v>
      </c>
      <c r="R14">
        <v>17</v>
      </c>
      <c r="S14">
        <v>18</v>
      </c>
      <c r="T14">
        <v>19</v>
      </c>
      <c r="U14">
        <v>20</v>
      </c>
    </row>
    <row r="15" spans="1:21" x14ac:dyDescent="0.3">
      <c r="A15" s="17" t="s">
        <v>45</v>
      </c>
      <c r="B15" t="str">
        <f>HLOOKUP(B14,NHtablearray,MATCH($A15,HHeader,0),FALSE)</f>
        <v>JP Kumar</v>
      </c>
      <c r="C15" t="str">
        <f t="shared" ref="C15:U15" si="0">HLOOKUP(C14,NHtablearray,2,FALSE)</f>
        <v>Anjali Thakur</v>
      </c>
      <c r="D15" t="str">
        <f t="shared" si="0"/>
        <v>Priya Agarwal</v>
      </c>
      <c r="E15" t="str">
        <f t="shared" si="0"/>
        <v>R Vasu</v>
      </c>
      <c r="F15" t="str">
        <f t="shared" si="0"/>
        <v>Sanjay Gupta</v>
      </c>
      <c r="G15" t="str">
        <f t="shared" si="0"/>
        <v>Jharna Biswal</v>
      </c>
      <c r="H15" t="str">
        <f t="shared" si="0"/>
        <v>Prakash Dutta</v>
      </c>
      <c r="I15" t="str">
        <f t="shared" si="0"/>
        <v>Manisha Guha</v>
      </c>
      <c r="J15" t="str">
        <f t="shared" si="0"/>
        <v>Arjun Jain</v>
      </c>
      <c r="K15" t="str">
        <f t="shared" si="0"/>
        <v>Arjun Kapoor</v>
      </c>
      <c r="L15" t="str">
        <f t="shared" si="0"/>
        <v>Abrar</v>
      </c>
      <c r="M15" t="str">
        <f t="shared" si="0"/>
        <v>Shahid Khan</v>
      </c>
      <c r="N15" t="str">
        <f t="shared" si="0"/>
        <v>Anupam Mishra</v>
      </c>
      <c r="O15" t="str">
        <f t="shared" si="0"/>
        <v>Ashwini</v>
      </c>
      <c r="P15" t="str">
        <f t="shared" si="0"/>
        <v>Prateek Babbar</v>
      </c>
      <c r="Q15" t="str">
        <f t="shared" si="0"/>
        <v>Sukanya Reddy</v>
      </c>
      <c r="R15" t="str">
        <f t="shared" si="0"/>
        <v>Satish Puri</v>
      </c>
      <c r="S15" t="str">
        <f t="shared" si="0"/>
        <v>Anjum Chopra</v>
      </c>
      <c r="T15" t="str">
        <f t="shared" si="0"/>
        <v>Akram Khan</v>
      </c>
      <c r="U15" t="str">
        <f t="shared" si="0"/>
        <v>Manish Grover</v>
      </c>
    </row>
    <row r="16" spans="1:21" x14ac:dyDescent="0.3">
      <c r="A16" s="17" t="s">
        <v>136</v>
      </c>
      <c r="B16" t="str">
        <f t="shared" ref="B16:U16" si="1">HLOOKUP(B14,NHtablearray,MATCH($A16,HHeader,0),FALSE)</f>
        <v>Andheri (W)</v>
      </c>
      <c r="C16" t="str">
        <f t="shared" si="1"/>
        <v>Govindpuri</v>
      </c>
      <c r="D16" t="str">
        <f t="shared" si="1"/>
        <v>Sector 9</v>
      </c>
      <c r="E16" t="str">
        <f t="shared" si="1"/>
        <v>Egmore</v>
      </c>
      <c r="F16" t="str">
        <f t="shared" si="1"/>
        <v>G K - II</v>
      </c>
      <c r="G16" t="str">
        <f t="shared" si="1"/>
        <v>Link Road</v>
      </c>
      <c r="H16" t="str">
        <f t="shared" si="1"/>
        <v>Elgin Road</v>
      </c>
      <c r="I16" t="str">
        <f t="shared" si="1"/>
        <v>Alipore</v>
      </c>
      <c r="J16" t="str">
        <f t="shared" si="1"/>
        <v>MG Road</v>
      </c>
      <c r="K16" t="str">
        <f t="shared" si="1"/>
        <v>Kormangala</v>
      </c>
      <c r="L16" t="str">
        <f t="shared" si="1"/>
        <v>Jayanagar</v>
      </c>
      <c r="M16" t="str">
        <f t="shared" si="1"/>
        <v>M.G Road</v>
      </c>
      <c r="N16" t="str">
        <f t="shared" si="1"/>
        <v>Govindpuri</v>
      </c>
      <c r="O16" t="str">
        <f t="shared" si="1"/>
        <v>Sector 9</v>
      </c>
      <c r="P16" t="str">
        <f t="shared" si="1"/>
        <v>North Road</v>
      </c>
      <c r="Q16" t="str">
        <f t="shared" si="1"/>
        <v>Alipore</v>
      </c>
      <c r="R16" t="str">
        <f t="shared" si="1"/>
        <v>Andheri (W)</v>
      </c>
      <c r="S16" t="str">
        <f t="shared" si="1"/>
        <v>Andheri (W)</v>
      </c>
      <c r="T16" t="str">
        <f t="shared" si="1"/>
        <v>S P B Road</v>
      </c>
      <c r="U16" t="str">
        <f t="shared" si="1"/>
        <v>L L R Road</v>
      </c>
    </row>
    <row r="17" spans="1:7" x14ac:dyDescent="0.3">
      <c r="A17" s="17" t="s">
        <v>646</v>
      </c>
    </row>
    <row r="18" spans="1:7" x14ac:dyDescent="0.3">
      <c r="B18" t="str">
        <f>HLOOKUP(B14,NHtablearray,4,FALSE)</f>
        <v>Mumbai</v>
      </c>
    </row>
    <row r="21" spans="1:7" ht="18" x14ac:dyDescent="0.35">
      <c r="B21" s="146" t="str">
        <f ca="1">_xlfn.FORMULATEXT(B15)</f>
        <v>=HLOOKUP(B14,NHtablearray,MATCH($A15,HHeader,0),FALSE)</v>
      </c>
      <c r="C21" s="146"/>
      <c r="D21" s="146"/>
      <c r="E21" s="146"/>
      <c r="F21" s="146"/>
      <c r="G21" s="146"/>
    </row>
  </sheetData>
  <mergeCells count="1">
    <mergeCell ref="B21:G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E0FC-5599-4C78-BAA5-1642AD928B2B}">
  <dimension ref="A3:F27"/>
  <sheetViews>
    <sheetView workbookViewId="0">
      <selection activeCell="A3" sqref="A3"/>
    </sheetView>
  </sheetViews>
  <sheetFormatPr defaultRowHeight="14.4" x14ac:dyDescent="0.3"/>
  <cols>
    <col min="1" max="1" width="13.77734375" bestFit="1" customWidth="1"/>
    <col min="2" max="2" width="15.5546875" bestFit="1" customWidth="1"/>
    <col min="3" max="5" width="6" bestFit="1" customWidth="1"/>
    <col min="6" max="6" width="10.77734375" bestFit="1" customWidth="1"/>
  </cols>
  <sheetData>
    <row r="3" spans="1:6" x14ac:dyDescent="0.3">
      <c r="A3" s="122" t="s">
        <v>649</v>
      </c>
      <c r="B3" s="122" t="s">
        <v>650</v>
      </c>
    </row>
    <row r="4" spans="1:6" x14ac:dyDescent="0.3">
      <c r="A4" s="122" t="s">
        <v>647</v>
      </c>
      <c r="B4" t="s">
        <v>161</v>
      </c>
      <c r="C4" t="s">
        <v>144</v>
      </c>
      <c r="D4" t="s">
        <v>67</v>
      </c>
      <c r="E4" t="s">
        <v>150</v>
      </c>
      <c r="F4" t="s">
        <v>648</v>
      </c>
    </row>
    <row r="5" spans="1:6" x14ac:dyDescent="0.3">
      <c r="A5" s="123" t="s">
        <v>184</v>
      </c>
      <c r="B5">
        <v>11250</v>
      </c>
      <c r="F5">
        <v>11250</v>
      </c>
    </row>
    <row r="6" spans="1:6" x14ac:dyDescent="0.3">
      <c r="A6" s="123" t="s">
        <v>207</v>
      </c>
      <c r="C6">
        <v>11250</v>
      </c>
      <c r="F6">
        <v>11250</v>
      </c>
    </row>
    <row r="7" spans="1:6" x14ac:dyDescent="0.3">
      <c r="A7" s="123" t="s">
        <v>147</v>
      </c>
      <c r="B7">
        <v>8750</v>
      </c>
      <c r="F7">
        <v>8750</v>
      </c>
    </row>
    <row r="8" spans="1:6" x14ac:dyDescent="0.3">
      <c r="A8" s="123" t="s">
        <v>204</v>
      </c>
      <c r="C8">
        <v>8750</v>
      </c>
      <c r="F8">
        <v>8750</v>
      </c>
    </row>
    <row r="9" spans="1:6" x14ac:dyDescent="0.3">
      <c r="A9" s="123" t="s">
        <v>190</v>
      </c>
      <c r="B9">
        <v>16250</v>
      </c>
      <c r="F9">
        <v>16250</v>
      </c>
    </row>
    <row r="10" spans="1:6" x14ac:dyDescent="0.3">
      <c r="A10" s="123" t="s">
        <v>178</v>
      </c>
      <c r="C10">
        <v>6250</v>
      </c>
      <c r="F10">
        <v>6250</v>
      </c>
    </row>
    <row r="11" spans="1:6" x14ac:dyDescent="0.3">
      <c r="A11" s="123" t="s">
        <v>180</v>
      </c>
      <c r="B11">
        <v>8750</v>
      </c>
      <c r="F11">
        <v>8750</v>
      </c>
    </row>
    <row r="12" spans="1:6" x14ac:dyDescent="0.3">
      <c r="A12" s="123" t="s">
        <v>193</v>
      </c>
      <c r="B12">
        <v>6400</v>
      </c>
      <c r="F12">
        <v>6400</v>
      </c>
    </row>
    <row r="13" spans="1:6" x14ac:dyDescent="0.3">
      <c r="A13" s="123" t="s">
        <v>583</v>
      </c>
      <c r="E13">
        <v>20000</v>
      </c>
      <c r="F13">
        <v>20000</v>
      </c>
    </row>
    <row r="14" spans="1:6" x14ac:dyDescent="0.3">
      <c r="A14" s="123" t="s">
        <v>167</v>
      </c>
      <c r="D14">
        <v>6400</v>
      </c>
      <c r="F14">
        <v>6400</v>
      </c>
    </row>
    <row r="15" spans="1:6" x14ac:dyDescent="0.3">
      <c r="A15" s="123" t="s">
        <v>141</v>
      </c>
      <c r="C15">
        <v>30000</v>
      </c>
      <c r="F15">
        <v>30000</v>
      </c>
    </row>
    <row r="16" spans="1:6" x14ac:dyDescent="0.3">
      <c r="A16" s="123" t="s">
        <v>210</v>
      </c>
      <c r="E16">
        <v>20000</v>
      </c>
      <c r="F16">
        <v>20000</v>
      </c>
    </row>
    <row r="17" spans="1:6" x14ac:dyDescent="0.3">
      <c r="A17" s="123" t="s">
        <v>175</v>
      </c>
      <c r="D17">
        <v>6275</v>
      </c>
      <c r="F17">
        <v>6275</v>
      </c>
    </row>
    <row r="18" spans="1:6" x14ac:dyDescent="0.3">
      <c r="A18" s="123" t="s">
        <v>171</v>
      </c>
      <c r="D18">
        <v>4500</v>
      </c>
      <c r="F18">
        <v>4500</v>
      </c>
    </row>
    <row r="19" spans="1:6" x14ac:dyDescent="0.3">
      <c r="A19" s="123" t="s">
        <v>195</v>
      </c>
      <c r="E19">
        <v>24000</v>
      </c>
      <c r="F19">
        <v>24000</v>
      </c>
    </row>
    <row r="20" spans="1:6" x14ac:dyDescent="0.3">
      <c r="A20" s="123" t="s">
        <v>153</v>
      </c>
      <c r="E20">
        <v>11250</v>
      </c>
      <c r="F20">
        <v>11250</v>
      </c>
    </row>
    <row r="21" spans="1:6" x14ac:dyDescent="0.3">
      <c r="A21" s="123" t="s">
        <v>158</v>
      </c>
      <c r="B21">
        <v>10000</v>
      </c>
      <c r="F21">
        <v>10000</v>
      </c>
    </row>
    <row r="22" spans="1:6" x14ac:dyDescent="0.3">
      <c r="A22" s="123" t="s">
        <v>594</v>
      </c>
      <c r="D22">
        <v>50000</v>
      </c>
      <c r="F22">
        <v>50000</v>
      </c>
    </row>
    <row r="23" spans="1:6" x14ac:dyDescent="0.3">
      <c r="A23" s="123" t="s">
        <v>164</v>
      </c>
      <c r="E23">
        <v>16250</v>
      </c>
      <c r="F23">
        <v>16250</v>
      </c>
    </row>
    <row r="24" spans="1:6" x14ac:dyDescent="0.3">
      <c r="A24" s="123" t="s">
        <v>200</v>
      </c>
      <c r="C24">
        <v>6250</v>
      </c>
      <c r="F24">
        <v>6250</v>
      </c>
    </row>
    <row r="25" spans="1:6" x14ac:dyDescent="0.3">
      <c r="A25" s="123" t="s">
        <v>187</v>
      </c>
      <c r="B25">
        <v>10000</v>
      </c>
      <c r="F25">
        <v>10000</v>
      </c>
    </row>
    <row r="26" spans="1:6" x14ac:dyDescent="0.3">
      <c r="A26" s="123" t="s">
        <v>198</v>
      </c>
      <c r="B26">
        <v>6275</v>
      </c>
      <c r="F26">
        <v>6275</v>
      </c>
    </row>
    <row r="27" spans="1:6" x14ac:dyDescent="0.3">
      <c r="A27" s="123" t="s">
        <v>648</v>
      </c>
      <c r="B27">
        <v>77675</v>
      </c>
      <c r="C27">
        <v>62500</v>
      </c>
      <c r="D27">
        <v>67175</v>
      </c>
      <c r="E27">
        <v>91500</v>
      </c>
      <c r="F27">
        <v>298850</v>
      </c>
    </row>
  </sheetData>
  <pageMargins left="0.7" right="0.7" top="0.75" bottom="0.75" header="0.3" footer="0.3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46AB-A1BE-4136-B20B-076D6073A91C}">
  <sheetPr codeName="Sheet31"/>
  <dimension ref="A1:G23"/>
  <sheetViews>
    <sheetView showGridLines="0" workbookViewId="0">
      <selection sqref="A1:G23"/>
    </sheetView>
  </sheetViews>
  <sheetFormatPr defaultRowHeight="14.4" x14ac:dyDescent="0.3"/>
  <cols>
    <col min="1" max="1" width="11.44140625" customWidth="1"/>
    <col min="3" max="3" width="10.6640625" customWidth="1"/>
    <col min="5" max="5" width="9.44140625" customWidth="1"/>
    <col min="7" max="7" width="15.77734375" customWidth="1"/>
    <col min="11" max="11" width="12.44140625" customWidth="1"/>
    <col min="12" max="12" width="23.44140625" customWidth="1"/>
  </cols>
  <sheetData>
    <row r="1" spans="1:7" x14ac:dyDescent="0.3">
      <c r="A1" s="121" t="s">
        <v>134</v>
      </c>
      <c r="B1" s="121" t="s">
        <v>576</v>
      </c>
      <c r="C1" s="121" t="s">
        <v>577</v>
      </c>
      <c r="D1" s="121" t="s">
        <v>585</v>
      </c>
      <c r="E1" s="121" t="s">
        <v>578</v>
      </c>
      <c r="F1" s="121" t="s">
        <v>579</v>
      </c>
      <c r="G1" s="121" t="s">
        <v>580</v>
      </c>
    </row>
    <row r="2" spans="1:7" x14ac:dyDescent="0.3">
      <c r="A2" s="97">
        <v>1</v>
      </c>
      <c r="B2" s="97" t="s">
        <v>141</v>
      </c>
      <c r="C2" s="97" t="s">
        <v>142</v>
      </c>
      <c r="D2" s="97" t="s">
        <v>143</v>
      </c>
      <c r="E2" s="97" t="s">
        <v>144</v>
      </c>
      <c r="F2" s="97" t="s">
        <v>145</v>
      </c>
      <c r="G2" s="97">
        <v>30000</v>
      </c>
    </row>
    <row r="3" spans="1:7" x14ac:dyDescent="0.3">
      <c r="A3" s="100">
        <v>2</v>
      </c>
      <c r="B3" s="100" t="s">
        <v>147</v>
      </c>
      <c r="C3" s="100" t="s">
        <v>148</v>
      </c>
      <c r="D3" s="100" t="s">
        <v>149</v>
      </c>
      <c r="E3" s="100" t="s">
        <v>161</v>
      </c>
      <c r="F3" s="100" t="s">
        <v>151</v>
      </c>
      <c r="G3" s="100">
        <v>8750</v>
      </c>
    </row>
    <row r="4" spans="1:7" x14ac:dyDescent="0.3">
      <c r="A4" s="97">
        <v>3</v>
      </c>
      <c r="B4" s="97" t="s">
        <v>153</v>
      </c>
      <c r="C4" s="97" t="s">
        <v>154</v>
      </c>
      <c r="D4" s="97" t="s">
        <v>155</v>
      </c>
      <c r="E4" s="97" t="s">
        <v>150</v>
      </c>
      <c r="F4" s="97" t="s">
        <v>156</v>
      </c>
      <c r="G4" s="97">
        <v>11250</v>
      </c>
    </row>
    <row r="5" spans="1:7" x14ac:dyDescent="0.3">
      <c r="A5" s="100">
        <v>4</v>
      </c>
      <c r="B5" s="100" t="s">
        <v>158</v>
      </c>
      <c r="C5" s="100" t="s">
        <v>159</v>
      </c>
      <c r="D5" s="100" t="s">
        <v>160</v>
      </c>
      <c r="E5" s="100" t="s">
        <v>161</v>
      </c>
      <c r="F5" s="100" t="s">
        <v>162</v>
      </c>
      <c r="G5" s="100">
        <v>10000</v>
      </c>
    </row>
    <row r="6" spans="1:7" x14ac:dyDescent="0.3">
      <c r="A6" s="97">
        <v>5</v>
      </c>
      <c r="B6" s="97" t="s">
        <v>164</v>
      </c>
      <c r="C6" s="97" t="s">
        <v>165</v>
      </c>
      <c r="D6" s="97" t="s">
        <v>149</v>
      </c>
      <c r="E6" s="97" t="s">
        <v>150</v>
      </c>
      <c r="F6" s="97" t="s">
        <v>145</v>
      </c>
      <c r="G6" s="97">
        <v>16250</v>
      </c>
    </row>
    <row r="7" spans="1:7" x14ac:dyDescent="0.3">
      <c r="A7" s="100">
        <v>6</v>
      </c>
      <c r="B7" s="100" t="s">
        <v>167</v>
      </c>
      <c r="C7" s="100" t="s">
        <v>168</v>
      </c>
      <c r="D7" s="100" t="s">
        <v>169</v>
      </c>
      <c r="E7" s="100" t="s">
        <v>67</v>
      </c>
      <c r="F7" s="100" t="s">
        <v>151</v>
      </c>
      <c r="G7" s="100">
        <v>6400</v>
      </c>
    </row>
    <row r="8" spans="1:7" x14ac:dyDescent="0.3">
      <c r="A8" s="97">
        <v>7</v>
      </c>
      <c r="B8" s="97" t="s">
        <v>171</v>
      </c>
      <c r="C8" s="97" t="s">
        <v>172</v>
      </c>
      <c r="D8" s="97" t="s">
        <v>173</v>
      </c>
      <c r="E8" s="97" t="s">
        <v>67</v>
      </c>
      <c r="F8" s="97" t="s">
        <v>156</v>
      </c>
      <c r="G8" s="97">
        <v>4500</v>
      </c>
    </row>
    <row r="9" spans="1:7" x14ac:dyDescent="0.3">
      <c r="A9" s="100">
        <v>8</v>
      </c>
      <c r="B9" s="100" t="s">
        <v>175</v>
      </c>
      <c r="C9" s="100" t="s">
        <v>176</v>
      </c>
      <c r="D9" s="100" t="s">
        <v>587</v>
      </c>
      <c r="E9" s="100" t="s">
        <v>67</v>
      </c>
      <c r="F9" s="100" t="s">
        <v>162</v>
      </c>
      <c r="G9" s="100">
        <v>6275</v>
      </c>
    </row>
    <row r="10" spans="1:7" x14ac:dyDescent="0.3">
      <c r="A10" s="97">
        <v>9</v>
      </c>
      <c r="B10" s="97" t="s">
        <v>178</v>
      </c>
      <c r="C10" s="97" t="s">
        <v>179</v>
      </c>
      <c r="D10" s="97" t="s">
        <v>143</v>
      </c>
      <c r="E10" s="97" t="s">
        <v>144</v>
      </c>
      <c r="F10" s="97" t="s">
        <v>145</v>
      </c>
      <c r="G10" s="97">
        <v>6250</v>
      </c>
    </row>
    <row r="11" spans="1:7" x14ac:dyDescent="0.3">
      <c r="A11" s="100">
        <v>10</v>
      </c>
      <c r="B11" s="100" t="s">
        <v>180</v>
      </c>
      <c r="C11" s="100" t="s">
        <v>181</v>
      </c>
      <c r="D11" s="100" t="s">
        <v>182</v>
      </c>
      <c r="E11" s="100" t="s">
        <v>161</v>
      </c>
      <c r="F11" s="100" t="s">
        <v>151</v>
      </c>
      <c r="G11" s="100">
        <v>8750</v>
      </c>
    </row>
    <row r="12" spans="1:7" x14ac:dyDescent="0.3">
      <c r="A12" s="97">
        <v>11</v>
      </c>
      <c r="B12" s="97" t="s">
        <v>184</v>
      </c>
      <c r="C12" s="97" t="s">
        <v>185</v>
      </c>
      <c r="D12" s="97" t="s">
        <v>182</v>
      </c>
      <c r="E12" s="97" t="s">
        <v>161</v>
      </c>
      <c r="F12" s="97" t="s">
        <v>156</v>
      </c>
      <c r="G12" s="97">
        <v>11250</v>
      </c>
    </row>
    <row r="13" spans="1:7" x14ac:dyDescent="0.3">
      <c r="A13" s="100">
        <v>12</v>
      </c>
      <c r="B13" s="100" t="s">
        <v>187</v>
      </c>
      <c r="C13" s="100" t="s">
        <v>188</v>
      </c>
      <c r="D13" s="100" t="s">
        <v>189</v>
      </c>
      <c r="E13" s="100" t="s">
        <v>161</v>
      </c>
      <c r="F13" s="100" t="s">
        <v>162</v>
      </c>
      <c r="G13" s="100">
        <v>10000</v>
      </c>
    </row>
    <row r="14" spans="1:7" x14ac:dyDescent="0.3">
      <c r="A14" s="97">
        <v>13</v>
      </c>
      <c r="B14" s="97" t="s">
        <v>190</v>
      </c>
      <c r="C14" s="97" t="s">
        <v>148</v>
      </c>
      <c r="D14" s="97" t="s">
        <v>191</v>
      </c>
      <c r="E14" s="97" t="s">
        <v>161</v>
      </c>
      <c r="F14" s="97" t="s">
        <v>145</v>
      </c>
      <c r="G14" s="97">
        <v>16250</v>
      </c>
    </row>
    <row r="15" spans="1:7" x14ac:dyDescent="0.3">
      <c r="A15" s="100">
        <v>14</v>
      </c>
      <c r="B15" s="100" t="s">
        <v>193</v>
      </c>
      <c r="C15" s="100" t="s">
        <v>154</v>
      </c>
      <c r="D15" s="100" t="s">
        <v>189</v>
      </c>
      <c r="E15" s="100" t="s">
        <v>161</v>
      </c>
      <c r="F15" s="100" t="s">
        <v>151</v>
      </c>
      <c r="G15" s="100">
        <v>6400</v>
      </c>
    </row>
    <row r="16" spans="1:7" x14ac:dyDescent="0.3">
      <c r="A16" s="97">
        <v>15</v>
      </c>
      <c r="B16" s="97" t="s">
        <v>195</v>
      </c>
      <c r="C16" s="97" t="s">
        <v>196</v>
      </c>
      <c r="D16" s="97" t="s">
        <v>149</v>
      </c>
      <c r="E16" s="97" t="s">
        <v>150</v>
      </c>
      <c r="F16" s="97" t="s">
        <v>156</v>
      </c>
      <c r="G16" s="97">
        <v>24000</v>
      </c>
    </row>
    <row r="17" spans="1:7" x14ac:dyDescent="0.3">
      <c r="A17" s="100">
        <v>16</v>
      </c>
      <c r="B17" s="100" t="s">
        <v>198</v>
      </c>
      <c r="C17" s="100" t="s">
        <v>176</v>
      </c>
      <c r="D17" s="100" t="s">
        <v>189</v>
      </c>
      <c r="E17" s="100" t="s">
        <v>161</v>
      </c>
      <c r="F17" s="100" t="s">
        <v>162</v>
      </c>
      <c r="G17" s="100">
        <v>6275</v>
      </c>
    </row>
    <row r="18" spans="1:7" x14ac:dyDescent="0.3">
      <c r="A18" s="97">
        <v>17</v>
      </c>
      <c r="B18" s="97" t="s">
        <v>200</v>
      </c>
      <c r="C18" s="97" t="s">
        <v>142</v>
      </c>
      <c r="D18" s="97" t="s">
        <v>143</v>
      </c>
      <c r="E18" s="97" t="s">
        <v>144</v>
      </c>
      <c r="F18" s="97" t="s">
        <v>202</v>
      </c>
      <c r="G18" s="97">
        <v>6250</v>
      </c>
    </row>
    <row r="19" spans="1:7" x14ac:dyDescent="0.3">
      <c r="A19" s="100">
        <v>18</v>
      </c>
      <c r="B19" s="100" t="s">
        <v>204</v>
      </c>
      <c r="C19" s="100" t="s">
        <v>142</v>
      </c>
      <c r="D19" s="100" t="s">
        <v>143</v>
      </c>
      <c r="E19" s="100" t="s">
        <v>144</v>
      </c>
      <c r="F19" s="100" t="s">
        <v>162</v>
      </c>
      <c r="G19" s="100">
        <v>8750</v>
      </c>
    </row>
    <row r="20" spans="1:7" x14ac:dyDescent="0.3">
      <c r="A20" s="97">
        <v>19</v>
      </c>
      <c r="B20" s="97" t="s">
        <v>207</v>
      </c>
      <c r="C20" s="97" t="s">
        <v>208</v>
      </c>
      <c r="D20" s="97" t="s">
        <v>209</v>
      </c>
      <c r="E20" s="97" t="s">
        <v>144</v>
      </c>
      <c r="F20" s="97" t="s">
        <v>202</v>
      </c>
      <c r="G20" s="97">
        <v>11250</v>
      </c>
    </row>
    <row r="21" spans="1:7" x14ac:dyDescent="0.3">
      <c r="A21" s="100">
        <v>20</v>
      </c>
      <c r="B21" s="100" t="s">
        <v>210</v>
      </c>
      <c r="C21" s="100" t="s">
        <v>211</v>
      </c>
      <c r="D21" s="100" t="s">
        <v>155</v>
      </c>
      <c r="E21" s="100" t="s">
        <v>150</v>
      </c>
      <c r="F21" s="100" t="s">
        <v>145</v>
      </c>
      <c r="G21" s="100">
        <v>20000</v>
      </c>
    </row>
    <row r="22" spans="1:7" x14ac:dyDescent="0.3">
      <c r="A22" s="97">
        <v>21</v>
      </c>
      <c r="B22" s="97" t="s">
        <v>583</v>
      </c>
      <c r="C22" s="97" t="s">
        <v>592</v>
      </c>
      <c r="D22" s="97" t="s">
        <v>404</v>
      </c>
      <c r="E22" s="97" t="s">
        <v>401</v>
      </c>
      <c r="F22" s="97" t="s">
        <v>593</v>
      </c>
      <c r="G22" s="97">
        <v>20000</v>
      </c>
    </row>
    <row r="23" spans="1:7" x14ac:dyDescent="0.3">
      <c r="A23" s="100">
        <v>22</v>
      </c>
      <c r="B23" s="100" t="s">
        <v>594</v>
      </c>
      <c r="C23" s="100" t="s">
        <v>595</v>
      </c>
      <c r="D23" s="100" t="s">
        <v>393</v>
      </c>
      <c r="E23" s="100" t="s">
        <v>409</v>
      </c>
      <c r="F23" s="100" t="s">
        <v>596</v>
      </c>
      <c r="G23" s="100">
        <v>50000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26</vt:i4>
      </vt:variant>
    </vt:vector>
  </HeadingPairs>
  <TitlesOfParts>
    <vt:vector size="58" baseType="lpstr">
      <vt:lpstr>INTRO</vt:lpstr>
      <vt:lpstr>Day 1</vt:lpstr>
      <vt:lpstr>Cal vs formulas vs func</vt:lpstr>
      <vt:lpstr>Arithmetic Functions</vt:lpstr>
      <vt:lpstr>Name Range</vt:lpstr>
      <vt:lpstr>Cell References</vt:lpstr>
      <vt:lpstr>Date functions</vt:lpstr>
      <vt:lpstr>Text functions</vt:lpstr>
      <vt:lpstr>Flash fill &amp; text to column</vt:lpstr>
      <vt:lpstr>Information function</vt:lpstr>
      <vt:lpstr>Paste special &amp; Math &amp; trigo</vt:lpstr>
      <vt:lpstr>Sumproduct &amp; Indirect</vt:lpstr>
      <vt:lpstr>Data Validation</vt:lpstr>
      <vt:lpstr>Logical function</vt:lpstr>
      <vt:lpstr>QUE FOR LOGICAL FUNC</vt:lpstr>
      <vt:lpstr>Freeze pane</vt:lpstr>
      <vt:lpstr>Conditional formatting</vt:lpstr>
      <vt:lpstr>Sorting</vt:lpstr>
      <vt:lpstr>Sorting h</vt:lpstr>
      <vt:lpstr>Filter</vt:lpstr>
      <vt:lpstr>Filter with diff</vt:lpstr>
      <vt:lpstr>Lookup </vt:lpstr>
      <vt:lpstr>XLOOKUP</vt:lpstr>
      <vt:lpstr>SOURCE DATA</vt:lpstr>
      <vt:lpstr>Vlookup</vt:lpstr>
      <vt:lpstr>Nasted vlookup</vt:lpstr>
      <vt:lpstr>vlookup with wild card</vt:lpstr>
      <vt:lpstr>complax vlookup</vt:lpstr>
      <vt:lpstr>index &amp; match</vt:lpstr>
      <vt:lpstr>HLOOKUP</vt:lpstr>
      <vt:lpstr>Sheet1</vt:lpstr>
      <vt:lpstr>Table</vt:lpstr>
      <vt:lpstr>ADDRESS</vt:lpstr>
      <vt:lpstr>City</vt:lpstr>
      <vt:lpstr>DATE</vt:lpstr>
      <vt:lpstr>DEPT</vt:lpstr>
      <vt:lpstr>Emp_Code</vt:lpstr>
      <vt:lpstr>EmpCodeArray</vt:lpstr>
      <vt:lpstr>EmpCodeHeader</vt:lpstr>
      <vt:lpstr>FirstTable</vt:lpstr>
      <vt:lpstr>Headcer1</vt:lpstr>
      <vt:lpstr>Header</vt:lpstr>
      <vt:lpstr>Header2</vt:lpstr>
      <vt:lpstr>HeaderArray</vt:lpstr>
      <vt:lpstr>HHeader</vt:lpstr>
      <vt:lpstr>Htablearray</vt:lpstr>
      <vt:lpstr>NAME</vt:lpstr>
      <vt:lpstr>namerange</vt:lpstr>
      <vt:lpstr>NametableArray</vt:lpstr>
      <vt:lpstr>NametableHeader</vt:lpstr>
      <vt:lpstr>Nempcode</vt:lpstr>
      <vt:lpstr>NHtablearray</vt:lpstr>
      <vt:lpstr>REGION</vt:lpstr>
      <vt:lpstr>SAL</vt:lpstr>
      <vt:lpstr>SData</vt:lpstr>
      <vt:lpstr>SecondTable</vt:lpstr>
      <vt:lpstr>TableArray</vt:lpstr>
      <vt:lpstr>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Admin</dc:creator>
  <cp:lastModifiedBy>Pradeep Kumar</cp:lastModifiedBy>
  <dcterms:created xsi:type="dcterms:W3CDTF">2015-06-05T18:17:20Z</dcterms:created>
  <dcterms:modified xsi:type="dcterms:W3CDTF">2026-09-04T12:06:55Z</dcterms:modified>
</cp:coreProperties>
</file>